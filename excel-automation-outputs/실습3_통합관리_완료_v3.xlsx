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통합관리" sheetId="1" state="visible" r:id="rId3"/>
    <sheet name="전체현황" sheetId="2" state="visible" r:id="rId4"/>
    <sheet name="상품마스터" sheetId="3" state="visible" r:id="rId5"/>
    <sheet name="재고현황" sheetId="4" state="visible" r:id="rId6"/>
    <sheet name="스마트스토어" sheetId="5" state="visible" r:id="rId7"/>
    <sheet name="쿠팡" sheetId="6" state="visible" r:id="rId8"/>
    <sheet name="카카오선물하기" sheetId="7" state="visible" r:id="rId9"/>
    <sheet name="자사몰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<sst xmlns="http://schemas.openxmlformats.org/spreadsheetml/2006/main" count="2485" uniqueCount="1061">
  <si>
    <t xml:space="preserve">상품코드</t>
  </si>
  <si>
    <t xml:space="preserve">상품명</t>
  </si>
  <si>
    <t xml:space="preserve">카테고리</t>
  </si>
  <si>
    <r>
      <rPr>
        <b val="true"/>
        <sz val="11"/>
        <color rgb="FFFFFFFF"/>
        <rFont val="DejaVu Sans"/>
        <family val="2"/>
      </rPr>
      <t xml:space="preserve">스마트스토어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판매량</t>
    </r>
  </si>
  <si>
    <r>
      <rPr>
        <b val="true"/>
        <sz val="11"/>
        <color rgb="FFFFFFFF"/>
        <rFont val="DejaVu Sans"/>
        <family val="2"/>
      </rPr>
      <t xml:space="preserve">스마트스토어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매출</t>
    </r>
  </si>
  <si>
    <r>
      <rPr>
        <b val="true"/>
        <sz val="11"/>
        <color rgb="FFFFFFFF"/>
        <rFont val="DejaVu Sans"/>
        <family val="2"/>
      </rPr>
      <t xml:space="preserve">쿠팡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판매량</t>
    </r>
  </si>
  <si>
    <r>
      <rPr>
        <b val="true"/>
        <sz val="11"/>
        <color rgb="FFFFFFFF"/>
        <rFont val="DejaVu Sans"/>
        <family val="2"/>
      </rPr>
      <t xml:space="preserve">쿠팡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매출</t>
    </r>
  </si>
  <si>
    <r>
      <rPr>
        <b val="true"/>
        <sz val="11"/>
        <color rgb="FFFFFFFF"/>
        <rFont val="DejaVu Sans"/>
        <family val="2"/>
      </rPr>
      <t xml:space="preserve">카카오선물하기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판매량</t>
    </r>
  </si>
  <si>
    <r>
      <rPr>
        <b val="true"/>
        <sz val="11"/>
        <color rgb="FFFFFFFF"/>
        <rFont val="DejaVu Sans"/>
        <family val="2"/>
      </rPr>
      <t xml:space="preserve">카카오선물하기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매출</t>
    </r>
  </si>
  <si>
    <r>
      <rPr>
        <b val="true"/>
        <sz val="11"/>
        <color rgb="FFFFFFFF"/>
        <rFont val="DejaVu Sans"/>
        <family val="2"/>
      </rPr>
      <t xml:space="preserve">자사몰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판매량</t>
    </r>
  </si>
  <si>
    <r>
      <rPr>
        <b val="true"/>
        <sz val="11"/>
        <color rgb="FFFFFFFF"/>
        <rFont val="DejaVu Sans"/>
        <family val="2"/>
      </rPr>
      <t xml:space="preserve">자사몰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매출</t>
    </r>
  </si>
  <si>
    <r>
      <rPr>
        <b val="true"/>
        <sz val="11"/>
        <color rgb="FFFFFFFF"/>
        <rFont val="DejaVu Sans"/>
        <family val="2"/>
      </rPr>
      <t xml:space="preserve">전체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판매량합계</t>
    </r>
  </si>
  <si>
    <r>
      <rPr>
        <b val="true"/>
        <sz val="11"/>
        <color rgb="FFFFFFFF"/>
        <rFont val="DejaVu Sans"/>
        <family val="2"/>
      </rPr>
      <t xml:space="preserve">전체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매출합계</t>
    </r>
  </si>
  <si>
    <t xml:space="preserve">HH-BV-001</t>
  </si>
  <si>
    <t xml:space="preserve">HH-BV-002</t>
  </si>
  <si>
    <t xml:space="preserve">HH-BV-003</t>
  </si>
  <si>
    <t xml:space="preserve">HH-BV-004</t>
  </si>
  <si>
    <t xml:space="preserve">HH-BV-005</t>
  </si>
  <si>
    <t xml:space="preserve">HH-BV-006</t>
  </si>
  <si>
    <t xml:space="preserve">HH-BV-007</t>
  </si>
  <si>
    <t xml:space="preserve">HH-BV-008</t>
  </si>
  <si>
    <t xml:space="preserve">HH-BV-009</t>
  </si>
  <si>
    <t xml:space="preserve">HH-BV-010</t>
  </si>
  <si>
    <t xml:space="preserve">HH-BV-011</t>
  </si>
  <si>
    <t xml:space="preserve">HH-BV-012</t>
  </si>
  <si>
    <t xml:space="preserve">HH-CR-001</t>
  </si>
  <si>
    <t xml:space="preserve">HH-CR-002</t>
  </si>
  <si>
    <t xml:space="preserve">HH-CR-003</t>
  </si>
  <si>
    <t xml:space="preserve">HH-CR-004</t>
  </si>
  <si>
    <t xml:space="preserve">HH-CR-005</t>
  </si>
  <si>
    <t xml:space="preserve">HH-CR-006</t>
  </si>
  <si>
    <t xml:space="preserve">HH-CR-007</t>
  </si>
  <si>
    <t xml:space="preserve">HH-CR-008</t>
  </si>
  <si>
    <t xml:space="preserve">HH-CR-009</t>
  </si>
  <si>
    <t xml:space="preserve">HH-CR-010</t>
  </si>
  <si>
    <t xml:space="preserve">HH-CR-011</t>
  </si>
  <si>
    <t xml:space="preserve">HH-CR-012</t>
  </si>
  <si>
    <t xml:space="preserve">HH-GF-001</t>
  </si>
  <si>
    <t xml:space="preserve">HH-GF-002</t>
  </si>
  <si>
    <t xml:space="preserve">HH-GF-003</t>
  </si>
  <si>
    <t xml:space="preserve">HH-GF-004</t>
  </si>
  <si>
    <t xml:space="preserve">HH-GF-005</t>
  </si>
  <si>
    <t xml:space="preserve">HH-GF-006</t>
  </si>
  <si>
    <t xml:space="preserve">HH-GF-007</t>
  </si>
  <si>
    <t xml:space="preserve">HH-GF-008</t>
  </si>
  <si>
    <t xml:space="preserve">HH-GF-009</t>
  </si>
  <si>
    <t xml:space="preserve">HH-GF-010</t>
  </si>
  <si>
    <t xml:space="preserve">HH-GF-011</t>
  </si>
  <si>
    <t xml:space="preserve">HH-GF-012</t>
  </si>
  <si>
    <t xml:space="preserve">HH-GR-001</t>
  </si>
  <si>
    <t xml:space="preserve">HH-GR-002</t>
  </si>
  <si>
    <t xml:space="preserve">HH-GR-003</t>
  </si>
  <si>
    <t xml:space="preserve">HH-GR-004</t>
  </si>
  <si>
    <t xml:space="preserve">HH-GR-005</t>
  </si>
  <si>
    <t xml:space="preserve">HH-GR-006</t>
  </si>
  <si>
    <t xml:space="preserve">HH-GR-007</t>
  </si>
  <si>
    <t xml:space="preserve">HH-GR-008</t>
  </si>
  <si>
    <t xml:space="preserve">HH-GR-009</t>
  </si>
  <si>
    <t xml:space="preserve">HH-GR-010</t>
  </si>
  <si>
    <t xml:space="preserve">HH-GR-011</t>
  </si>
  <si>
    <t xml:space="preserve">HH-GR-012</t>
  </si>
  <si>
    <t xml:space="preserve">HH-GR-013</t>
  </si>
  <si>
    <t xml:space="preserve">HH-GR-014</t>
  </si>
  <si>
    <t xml:space="preserve">HH-GR-015</t>
  </si>
  <si>
    <t xml:space="preserve">HH-GR-016</t>
  </si>
  <si>
    <t xml:space="preserve">HH-JS-001</t>
  </si>
  <si>
    <t xml:space="preserve">HH-JS-002</t>
  </si>
  <si>
    <t xml:space="preserve">HH-JS-003</t>
  </si>
  <si>
    <t xml:space="preserve">HH-JS-004</t>
  </si>
  <si>
    <t xml:space="preserve">HH-JS-005</t>
  </si>
  <si>
    <t xml:space="preserve">HH-JS-006</t>
  </si>
  <si>
    <t xml:space="preserve">HH-JS-007</t>
  </si>
  <si>
    <t xml:space="preserve">HH-JS-008</t>
  </si>
  <si>
    <t xml:space="preserve">HH-JS-009</t>
  </si>
  <si>
    <t xml:space="preserve">HH-JS-010</t>
  </si>
  <si>
    <t xml:space="preserve">HH-JS-011</t>
  </si>
  <si>
    <t xml:space="preserve">HH-JS-012</t>
  </si>
  <si>
    <t xml:space="preserve">HH-NT-001</t>
  </si>
  <si>
    <t xml:space="preserve">HH-NT-002</t>
  </si>
  <si>
    <t xml:space="preserve">HH-NT-003</t>
  </si>
  <si>
    <t xml:space="preserve">HH-NT-004</t>
  </si>
  <si>
    <t xml:space="preserve">HH-NT-005</t>
  </si>
  <si>
    <t xml:space="preserve">HH-NT-006</t>
  </si>
  <si>
    <t xml:space="preserve">HH-NT-007</t>
  </si>
  <si>
    <t xml:space="preserve">HH-NT-008</t>
  </si>
  <si>
    <t xml:space="preserve">HH-NT-009</t>
  </si>
  <si>
    <t xml:space="preserve">HH-NT-010</t>
  </si>
  <si>
    <t xml:space="preserve">HH-NT-011</t>
  </si>
  <si>
    <t xml:space="preserve">HH-NT-012</t>
  </si>
  <si>
    <t xml:space="preserve">HH-NT-013</t>
  </si>
  <si>
    <t xml:space="preserve">HH-NT-014</t>
  </si>
  <si>
    <t xml:space="preserve">HH-PB-001</t>
  </si>
  <si>
    <t xml:space="preserve">HH-PB-002</t>
  </si>
  <si>
    <t xml:space="preserve">HH-PB-003</t>
  </si>
  <si>
    <t xml:space="preserve">HH-PB-004</t>
  </si>
  <si>
    <t xml:space="preserve">HH-PB-005</t>
  </si>
  <si>
    <t xml:space="preserve">HH-PB-006</t>
  </si>
  <si>
    <t xml:space="preserve">HH-PB-007</t>
  </si>
  <si>
    <t xml:space="preserve">HH-PB-008</t>
  </si>
  <si>
    <t xml:space="preserve">HH-PB-009</t>
  </si>
  <si>
    <t xml:space="preserve">HH-PB-010</t>
  </si>
  <si>
    <t xml:space="preserve">HH-PB-011</t>
  </si>
  <si>
    <t xml:space="preserve">HH-PB-012</t>
  </si>
  <si>
    <t xml:space="preserve">HH-PB-013</t>
  </si>
  <si>
    <t xml:space="preserve">HH-PB-014</t>
  </si>
  <si>
    <t xml:space="preserve">HH-PB-015</t>
  </si>
  <si>
    <t xml:space="preserve">HH-PB-016</t>
  </si>
  <si>
    <t xml:space="preserve">HH-SM-001</t>
  </si>
  <si>
    <t xml:space="preserve">HH-SM-002</t>
  </si>
  <si>
    <t xml:space="preserve">HH-SM-003</t>
  </si>
  <si>
    <t xml:space="preserve">HH-SM-004</t>
  </si>
  <si>
    <t xml:space="preserve">HH-SM-005</t>
  </si>
  <si>
    <t xml:space="preserve">HH-SM-006</t>
  </si>
  <si>
    <t xml:space="preserve">HH-SM-007</t>
  </si>
  <si>
    <t xml:space="preserve">HH-SM-008</t>
  </si>
  <si>
    <t xml:space="preserve">HH-SM-009</t>
  </si>
  <si>
    <t xml:space="preserve">HH-SM-010</t>
  </si>
  <si>
    <t xml:space="preserve">HH-SM-011</t>
  </si>
  <si>
    <t xml:space="preserve">HH-SM-012</t>
  </si>
  <si>
    <t xml:space="preserve">HH-SM-013</t>
  </si>
  <si>
    <t xml:space="preserve">HH-SM-014</t>
  </si>
  <si>
    <t xml:space="preserve">합계</t>
  </si>
  <si>
    <r>
      <rPr>
        <b val="true"/>
        <sz val="14"/>
        <color rgb="FF4472C4"/>
        <rFont val="맑은 고딕"/>
        <family val="0"/>
        <charset val="1"/>
      </rPr>
      <t xml:space="preserve">[</t>
    </r>
    <r>
      <rPr>
        <b val="true"/>
        <sz val="14"/>
        <color rgb="FF4472C4"/>
        <rFont val="DejaVu Sans"/>
        <family val="2"/>
      </rPr>
      <t xml:space="preserve">전체현황</t>
    </r>
    <r>
      <rPr>
        <b val="true"/>
        <sz val="14"/>
        <color rgb="FF4472C4"/>
        <rFont val="맑은 고딕"/>
        <family val="0"/>
        <charset val="1"/>
      </rPr>
      <t xml:space="preserve">]</t>
    </r>
  </si>
  <si>
    <r>
      <rPr>
        <sz val="11"/>
        <color rgb="FF808080"/>
        <rFont val="DejaVu Sans"/>
        <family val="2"/>
      </rPr>
      <t xml:space="preserve">이 시트는 비어 있습니다</t>
    </r>
    <r>
      <rPr>
        <sz val="11"/>
        <color rgb="FF808080"/>
        <rFont val="맑은 고딕"/>
        <family val="0"/>
        <charset val="1"/>
      </rPr>
      <t xml:space="preserve">.</t>
    </r>
  </si>
  <si>
    <r>
      <rPr>
        <sz val="11"/>
        <color rgb="FF808080"/>
        <rFont val="DejaVu Sans"/>
        <family val="2"/>
      </rPr>
      <t xml:space="preserve">나머지 탭</t>
    </r>
    <r>
      <rPr>
        <sz val="11"/>
        <color rgb="FF808080"/>
        <rFont val="맑은 고딕"/>
        <family val="0"/>
        <charset val="1"/>
      </rPr>
      <t xml:space="preserve">(</t>
    </r>
    <r>
      <rPr>
        <sz val="11"/>
        <color rgb="FF808080"/>
        <rFont val="DejaVu Sans"/>
        <family val="2"/>
      </rPr>
      <t xml:space="preserve">상품마스터</t>
    </r>
    <r>
      <rPr>
        <sz val="11"/>
        <color rgb="FF808080"/>
        <rFont val="맑은 고딕"/>
        <family val="0"/>
        <charset val="1"/>
      </rPr>
      <t xml:space="preserve">, </t>
    </r>
    <r>
      <rPr>
        <sz val="11"/>
        <color rgb="FF808080"/>
        <rFont val="DejaVu Sans"/>
        <family val="2"/>
      </rPr>
      <t xml:space="preserve">재고현황</t>
    </r>
    <r>
      <rPr>
        <sz val="11"/>
        <color rgb="FF808080"/>
        <rFont val="맑은 고딕"/>
        <family val="0"/>
        <charset val="1"/>
      </rPr>
      <t xml:space="preserve">, </t>
    </r>
    <r>
      <rPr>
        <sz val="11"/>
        <color rgb="FF808080"/>
        <rFont val="DejaVu Sans"/>
        <family val="2"/>
      </rPr>
      <t xml:space="preserve">스마트스토어</t>
    </r>
    <r>
      <rPr>
        <sz val="11"/>
        <color rgb="FF808080"/>
        <rFont val="맑은 고딕"/>
        <family val="0"/>
        <charset val="1"/>
      </rPr>
      <t xml:space="preserve">, </t>
    </r>
    <r>
      <rPr>
        <sz val="11"/>
        <color rgb="FF808080"/>
        <rFont val="DejaVu Sans"/>
        <family val="2"/>
      </rPr>
      <t xml:space="preserve">쿠팡</t>
    </r>
    <r>
      <rPr>
        <sz val="11"/>
        <color rgb="FF808080"/>
        <rFont val="맑은 고딕"/>
        <family val="0"/>
        <charset val="1"/>
      </rPr>
      <t xml:space="preserve">, </t>
    </r>
    <r>
      <rPr>
        <sz val="11"/>
        <color rgb="FF808080"/>
        <rFont val="DejaVu Sans"/>
        <family val="2"/>
      </rPr>
      <t xml:space="preserve">카카오선물하기</t>
    </r>
    <r>
      <rPr>
        <sz val="11"/>
        <color rgb="FF808080"/>
        <rFont val="맑은 고딕"/>
        <family val="0"/>
        <charset val="1"/>
      </rPr>
      <t xml:space="preserve">, </t>
    </r>
    <r>
      <rPr>
        <sz val="11"/>
        <color rgb="FF808080"/>
        <rFont val="DejaVu Sans"/>
        <family val="2"/>
      </rPr>
      <t xml:space="preserve">자사몰</t>
    </r>
    <r>
      <rPr>
        <sz val="11"/>
        <color rgb="FF808080"/>
        <rFont val="맑은 고딕"/>
        <family val="0"/>
        <charset val="1"/>
      </rPr>
      <t xml:space="preserve">)</t>
    </r>
    <r>
      <rPr>
        <sz val="11"/>
        <color rgb="FF808080"/>
        <rFont val="DejaVu Sans"/>
        <family val="2"/>
      </rPr>
      <t xml:space="preserve">의</t>
    </r>
  </si>
  <si>
    <r>
      <rPr>
        <sz val="11"/>
        <color rgb="FF808080"/>
        <rFont val="DejaVu Sans"/>
        <family val="2"/>
      </rPr>
      <t xml:space="preserve">핵심 정보를 이 시트에 취합하여 한눈에 관리할 수 있도록 정리해주세요</t>
    </r>
    <r>
      <rPr>
        <sz val="11"/>
        <color rgb="FF808080"/>
        <rFont val="맑은 고딕"/>
        <family val="0"/>
        <charset val="1"/>
      </rPr>
      <t xml:space="preserve">.</t>
    </r>
  </si>
  <si>
    <t xml:space="preserve">브랜드</t>
  </si>
  <si>
    <r>
      <rPr>
        <b val="true"/>
        <sz val="10"/>
        <color rgb="FFFFFFFF"/>
        <rFont val="DejaVu Sans"/>
        <family val="2"/>
      </rPr>
      <t xml:space="preserve">정가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</si>
  <si>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원가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</si>
  <si>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기본마진율</t>
  </si>
  <si>
    <t xml:space="preserve">출시일</t>
  </si>
  <si>
    <t xml:space="preserve">상태</t>
  </si>
  <si>
    <t xml:space="preserve">건강한하루</t>
  </si>
  <si>
    <t xml:space="preserve">그래놀라</t>
  </si>
  <si>
    <r>
      <rPr>
        <sz val="10"/>
        <rFont val="DejaVu Sans"/>
        <family val="2"/>
      </rPr>
      <t xml:space="preserve">오리지널 </t>
    </r>
    <r>
      <rPr>
        <sz val="10"/>
        <rFont val="맑은 고딕"/>
        <family val="0"/>
        <charset val="1"/>
      </rPr>
      <t xml:space="preserve">400g</t>
    </r>
  </si>
  <si>
    <t xml:space="preserve">2024-06-07</t>
  </si>
  <si>
    <t xml:space="preserve">판매중</t>
  </si>
  <si>
    <r>
      <rPr>
        <sz val="10"/>
        <rFont val="DejaVu Sans"/>
        <family val="2"/>
      </rPr>
      <t xml:space="preserve">다크초코 </t>
    </r>
    <r>
      <rPr>
        <sz val="10"/>
        <rFont val="맑은 고딕"/>
        <family val="0"/>
        <charset val="1"/>
      </rPr>
      <t xml:space="preserve">400g</t>
    </r>
  </si>
  <si>
    <t xml:space="preserve">2023-05-16</t>
  </si>
  <si>
    <t xml:space="preserve">단종예정</t>
  </si>
  <si>
    <r>
      <rPr>
        <sz val="10"/>
        <rFont val="DejaVu Sans"/>
        <family val="2"/>
      </rPr>
      <t xml:space="preserve">베리믹스 </t>
    </r>
    <r>
      <rPr>
        <sz val="10"/>
        <rFont val="맑은 고딕"/>
        <family val="0"/>
        <charset val="1"/>
      </rPr>
      <t xml:space="preserve">400g</t>
    </r>
  </si>
  <si>
    <t xml:space="preserve">2023-03-18</t>
  </si>
  <si>
    <r>
      <rPr>
        <sz val="10"/>
        <rFont val="DejaVu Sans"/>
        <family val="2"/>
      </rPr>
      <t xml:space="preserve">코코넛 </t>
    </r>
    <r>
      <rPr>
        <sz val="10"/>
        <rFont val="맑은 고딕"/>
        <family val="0"/>
        <charset val="1"/>
      </rPr>
      <t xml:space="preserve">400g</t>
    </r>
  </si>
  <si>
    <t xml:space="preserve">2023-05-01</t>
  </si>
  <si>
    <r>
      <rPr>
        <sz val="10"/>
        <rFont val="DejaVu Sans"/>
        <family val="2"/>
      </rPr>
      <t xml:space="preserve">말차 </t>
    </r>
    <r>
      <rPr>
        <sz val="10"/>
        <rFont val="맑은 고딕"/>
        <family val="0"/>
        <charset val="1"/>
      </rPr>
      <t xml:space="preserve">400g</t>
    </r>
  </si>
  <si>
    <t xml:space="preserve">2024-03-26</t>
  </si>
  <si>
    <r>
      <rPr>
        <sz val="10"/>
        <rFont val="DejaVu Sans"/>
        <family val="2"/>
      </rPr>
      <t xml:space="preserve">꿀귀리 </t>
    </r>
    <r>
      <rPr>
        <sz val="10"/>
        <rFont val="맑은 고딕"/>
        <family val="0"/>
        <charset val="1"/>
      </rPr>
      <t xml:space="preserve">400g</t>
    </r>
  </si>
  <si>
    <t xml:space="preserve">2024-03-11</t>
  </si>
  <si>
    <r>
      <rPr>
        <sz val="10"/>
        <rFont val="DejaVu Sans"/>
        <family val="2"/>
      </rPr>
      <t xml:space="preserve">트로피컬 </t>
    </r>
    <r>
      <rPr>
        <sz val="10"/>
        <rFont val="맑은 고딕"/>
        <family val="0"/>
        <charset val="1"/>
      </rPr>
      <t xml:space="preserve">400g</t>
    </r>
  </si>
  <si>
    <t xml:space="preserve">2023-09-25</t>
  </si>
  <si>
    <r>
      <rPr>
        <sz val="10"/>
        <rFont val="DejaVu Sans"/>
        <family val="2"/>
      </rPr>
      <t xml:space="preserve">팥앙금 </t>
    </r>
    <r>
      <rPr>
        <sz val="10"/>
        <rFont val="맑은 고딕"/>
        <family val="0"/>
        <charset val="1"/>
      </rPr>
      <t xml:space="preserve">400g</t>
    </r>
  </si>
  <si>
    <t xml:space="preserve">2024-04-08</t>
  </si>
  <si>
    <r>
      <rPr>
        <sz val="10"/>
        <rFont val="DejaVu Sans"/>
        <family val="2"/>
      </rPr>
      <t xml:space="preserve">흑임자 </t>
    </r>
    <r>
      <rPr>
        <sz val="10"/>
        <rFont val="맑은 고딕"/>
        <family val="0"/>
        <charset val="1"/>
      </rPr>
      <t xml:space="preserve">400g</t>
    </r>
  </si>
  <si>
    <t xml:space="preserve">2023-04-23</t>
  </si>
  <si>
    <r>
      <rPr>
        <sz val="10"/>
        <rFont val="DejaVu Sans"/>
        <family val="2"/>
      </rPr>
      <t xml:space="preserve">오리지널 </t>
    </r>
    <r>
      <rPr>
        <sz val="10"/>
        <rFont val="맑은 고딕"/>
        <family val="0"/>
        <charset val="1"/>
      </rPr>
      <t xml:space="preserve">1kg</t>
    </r>
  </si>
  <si>
    <t xml:space="preserve">2024-10-23</t>
  </si>
  <si>
    <r>
      <rPr>
        <sz val="10"/>
        <rFont val="DejaVu Sans"/>
        <family val="2"/>
      </rPr>
      <t xml:space="preserve">다크초코 </t>
    </r>
    <r>
      <rPr>
        <sz val="10"/>
        <rFont val="맑은 고딕"/>
        <family val="0"/>
        <charset val="1"/>
      </rPr>
      <t xml:space="preserve">1kg</t>
    </r>
  </si>
  <si>
    <t xml:space="preserve">2023-12-24</t>
  </si>
  <si>
    <r>
      <rPr>
        <sz val="10"/>
        <rFont val="DejaVu Sans"/>
        <family val="2"/>
      </rPr>
      <t xml:space="preserve">베리믹스 </t>
    </r>
    <r>
      <rPr>
        <sz val="10"/>
        <rFont val="맑은 고딕"/>
        <family val="0"/>
        <charset val="1"/>
      </rPr>
      <t xml:space="preserve">1kg</t>
    </r>
  </si>
  <si>
    <t xml:space="preserve">2024-02-04</t>
  </si>
  <si>
    <r>
      <rPr>
        <sz val="10"/>
        <rFont val="DejaVu Sans"/>
        <family val="2"/>
      </rPr>
      <t xml:space="preserve">미니팩 </t>
    </r>
    <r>
      <rPr>
        <sz val="10"/>
        <rFont val="맑은 고딕"/>
        <family val="0"/>
        <charset val="1"/>
      </rPr>
      <t xml:space="preserve">30g x 10</t>
    </r>
  </si>
  <si>
    <t xml:space="preserve">2023-09-04</t>
  </si>
  <si>
    <r>
      <rPr>
        <sz val="10"/>
        <rFont val="DejaVu Sans"/>
        <family val="2"/>
      </rPr>
      <t xml:space="preserve">미니팩 </t>
    </r>
    <r>
      <rPr>
        <sz val="10"/>
        <rFont val="맑은 고딕"/>
        <family val="0"/>
        <charset val="1"/>
      </rPr>
      <t xml:space="preserve">30g x 20</t>
    </r>
  </si>
  <si>
    <t xml:space="preserve">2023-06-17</t>
  </si>
  <si>
    <r>
      <rPr>
        <sz val="10"/>
        <rFont val="DejaVu Sans"/>
        <family val="2"/>
      </rPr>
      <t xml:space="preserve">오리지널 </t>
    </r>
    <r>
      <rPr>
        <sz val="10"/>
        <rFont val="맑은 고딕"/>
        <family val="0"/>
        <charset val="1"/>
      </rPr>
      <t xml:space="preserve">200g</t>
    </r>
  </si>
  <si>
    <t xml:space="preserve">2024-10-20</t>
  </si>
  <si>
    <r>
      <rPr>
        <sz val="10"/>
        <rFont val="DejaVu Sans"/>
        <family val="2"/>
      </rPr>
      <t xml:space="preserve">다크초코 </t>
    </r>
    <r>
      <rPr>
        <sz val="10"/>
        <rFont val="맑은 고딕"/>
        <family val="0"/>
        <charset val="1"/>
      </rPr>
      <t xml:space="preserve">200g</t>
    </r>
  </si>
  <si>
    <t xml:space="preserve">2023-10-16</t>
  </si>
  <si>
    <t xml:space="preserve">프로틴바</t>
  </si>
  <si>
    <r>
      <rPr>
        <sz val="10"/>
        <rFont val="DejaVu Sans"/>
        <family val="2"/>
      </rPr>
      <t xml:space="preserve">초코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</si>
  <si>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t xml:space="preserve">2023-07-01</t>
  </si>
  <si>
    <t xml:space="preserve">일시품절</t>
  </si>
  <si>
    <r>
      <rPr>
        <sz val="10"/>
        <rFont val="DejaVu Sans"/>
        <family val="2"/>
      </rPr>
      <t xml:space="preserve">피넛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</si>
  <si>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t xml:space="preserve">2023-01-16</t>
  </si>
  <si>
    <r>
      <rPr>
        <sz val="10"/>
        <rFont val="DejaVu Sans"/>
        <family val="2"/>
      </rPr>
      <t xml:space="preserve">쿠키앤크림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</si>
  <si>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t xml:space="preserve">2024-07-04</t>
  </si>
  <si>
    <r>
      <rPr>
        <sz val="10"/>
        <rFont val="DejaVu Sans"/>
        <family val="2"/>
      </rPr>
      <t xml:space="preserve">카라멜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</si>
  <si>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t xml:space="preserve">2024-01-21</t>
  </si>
  <si>
    <r>
      <rPr>
        <sz val="10"/>
        <rFont val="DejaVu Sans"/>
        <family val="2"/>
      </rPr>
      <t xml:space="preserve">바닐라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</si>
  <si>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t xml:space="preserve">2023-03-10</t>
  </si>
  <si>
    <r>
      <rPr>
        <sz val="10"/>
        <rFont val="DejaVu Sans"/>
        <family val="2"/>
      </rPr>
      <t xml:space="preserve">더블초코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</si>
  <si>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t xml:space="preserve">2023-08-12</t>
  </si>
  <si>
    <r>
      <rPr>
        <sz val="10"/>
        <rFont val="DejaVu Sans"/>
        <family val="2"/>
      </rPr>
      <t xml:space="preserve">초코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</si>
  <si>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2024-10-01</t>
  </si>
  <si>
    <r>
      <rPr>
        <sz val="10"/>
        <rFont val="DejaVu Sans"/>
        <family val="2"/>
      </rPr>
      <t xml:space="preserve">피넛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</si>
  <si>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2024-03-25</t>
  </si>
  <si>
    <r>
      <rPr>
        <sz val="10"/>
        <rFont val="DejaVu Sans"/>
        <family val="2"/>
      </rPr>
      <t xml:space="preserve">쿠키앤크림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</si>
  <si>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2023-12-01</t>
  </si>
  <si>
    <r>
      <rPr>
        <sz val="10"/>
        <rFont val="DejaVu Sans"/>
        <family val="2"/>
      </rPr>
      <t xml:space="preserve">카라멜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</si>
  <si>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2024-02-28</t>
  </si>
  <si>
    <t xml:space="preserve">초코 낱개</t>
  </si>
  <si>
    <t xml:space="preserve">피넛 낱개</t>
  </si>
  <si>
    <t xml:space="preserve">2024-04-25</t>
  </si>
  <si>
    <r>
      <rPr>
        <sz val="10"/>
        <rFont val="DejaVu Sans"/>
        <family val="2"/>
      </rPr>
      <t xml:space="preserve">혼합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개입</t>
    </r>
  </si>
  <si>
    <t xml:space="preserve">2023-03-05</t>
  </si>
  <si>
    <r>
      <rPr>
        <sz val="10"/>
        <rFont val="DejaVu Sans"/>
        <family val="2"/>
      </rPr>
      <t xml:space="preserve">혼합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개입</t>
    </r>
  </si>
  <si>
    <t xml:space="preserve">2023-11-17</t>
  </si>
  <si>
    <r>
      <rPr>
        <sz val="10"/>
        <rFont val="DejaVu Sans"/>
        <family val="2"/>
      </rPr>
      <t xml:space="preserve">미니바 초코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개입</t>
    </r>
  </si>
  <si>
    <t xml:space="preserve">2024-08-17</t>
  </si>
  <si>
    <r>
      <rPr>
        <sz val="10"/>
        <rFont val="DejaVu Sans"/>
        <family val="2"/>
      </rPr>
      <t xml:space="preserve">미니바 피넛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개입</t>
    </r>
  </si>
  <si>
    <t xml:space="preserve">2023-08-20</t>
  </si>
  <si>
    <t xml:space="preserve">스무디</t>
  </si>
  <si>
    <r>
      <rPr>
        <sz val="10"/>
        <rFont val="DejaVu Sans"/>
        <family val="2"/>
      </rPr>
      <t xml:space="preserve">그린 파우더 </t>
    </r>
    <r>
      <rPr>
        <sz val="10"/>
        <rFont val="맑은 고딕"/>
        <family val="0"/>
        <charset val="1"/>
      </rPr>
      <t xml:space="preserve">300g</t>
    </r>
  </si>
  <si>
    <t xml:space="preserve">2024-05-15</t>
  </si>
  <si>
    <r>
      <rPr>
        <sz val="10"/>
        <rFont val="DejaVu Sans"/>
        <family val="2"/>
      </rPr>
      <t xml:space="preserve">베리 파우더 </t>
    </r>
    <r>
      <rPr>
        <sz val="10"/>
        <rFont val="맑은 고딕"/>
        <family val="0"/>
        <charset val="1"/>
      </rPr>
      <t xml:space="preserve">300g</t>
    </r>
  </si>
  <si>
    <r>
      <rPr>
        <sz val="10"/>
        <rFont val="DejaVu Sans"/>
        <family val="2"/>
      </rPr>
      <t xml:space="preserve">프로틴 파우더 </t>
    </r>
    <r>
      <rPr>
        <sz val="10"/>
        <rFont val="맑은 고딕"/>
        <family val="0"/>
        <charset val="1"/>
      </rPr>
      <t xml:space="preserve">300g</t>
    </r>
  </si>
  <si>
    <t xml:space="preserve">2023-12-05</t>
  </si>
  <si>
    <r>
      <rPr>
        <sz val="10"/>
        <rFont val="DejaVu Sans"/>
        <family val="2"/>
      </rPr>
      <t xml:space="preserve">망고 파우더 </t>
    </r>
    <r>
      <rPr>
        <sz val="10"/>
        <rFont val="맑은 고딕"/>
        <family val="0"/>
        <charset val="1"/>
      </rPr>
      <t xml:space="preserve">300g</t>
    </r>
  </si>
  <si>
    <t xml:space="preserve">2023-09-07</t>
  </si>
  <si>
    <r>
      <rPr>
        <sz val="10"/>
        <rFont val="DejaVu Sans"/>
        <family val="2"/>
      </rPr>
      <t xml:space="preserve">바나나 파우더 </t>
    </r>
    <r>
      <rPr>
        <sz val="10"/>
        <rFont val="맑은 고딕"/>
        <family val="0"/>
        <charset val="1"/>
      </rPr>
      <t xml:space="preserve">300g</t>
    </r>
  </si>
  <si>
    <t xml:space="preserve">2024-03-04</t>
  </si>
  <si>
    <r>
      <rPr>
        <sz val="10"/>
        <rFont val="DejaVu Sans"/>
        <family val="2"/>
      </rPr>
      <t xml:space="preserve">아사이 파우더 </t>
    </r>
    <r>
      <rPr>
        <sz val="10"/>
        <rFont val="맑은 고딕"/>
        <family val="0"/>
        <charset val="1"/>
      </rPr>
      <t xml:space="preserve">300g</t>
    </r>
  </si>
  <si>
    <r>
      <rPr>
        <sz val="10"/>
        <rFont val="DejaVu Sans"/>
        <family val="2"/>
      </rPr>
      <t xml:space="preserve">그린 파우더 </t>
    </r>
    <r>
      <rPr>
        <sz val="10"/>
        <rFont val="맑은 고딕"/>
        <family val="0"/>
        <charset val="1"/>
      </rPr>
      <t xml:space="preserve">600g</t>
    </r>
  </si>
  <si>
    <t xml:space="preserve">2024-04-27</t>
  </si>
  <si>
    <r>
      <rPr>
        <sz val="10"/>
        <rFont val="DejaVu Sans"/>
        <family val="2"/>
      </rPr>
      <t xml:space="preserve">베리 파우더 </t>
    </r>
    <r>
      <rPr>
        <sz val="10"/>
        <rFont val="맑은 고딕"/>
        <family val="0"/>
        <charset val="1"/>
      </rPr>
      <t xml:space="preserve">600g</t>
    </r>
  </si>
  <si>
    <t xml:space="preserve">2024-05-28</t>
  </si>
  <si>
    <r>
      <rPr>
        <sz val="10"/>
        <rFont val="DejaVu Sans"/>
        <family val="2"/>
      </rPr>
      <t xml:space="preserve">프로틴 파우더 </t>
    </r>
    <r>
      <rPr>
        <sz val="10"/>
        <rFont val="맑은 고딕"/>
        <family val="0"/>
        <charset val="1"/>
      </rPr>
      <t xml:space="preserve">600g</t>
    </r>
  </si>
  <si>
    <t xml:space="preserve">2023-09-11</t>
  </si>
  <si>
    <r>
      <rPr>
        <sz val="10"/>
        <rFont val="DejaVu Sans"/>
        <family val="2"/>
      </rPr>
      <t xml:space="preserve">그린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</t>
    </r>
  </si>
  <si>
    <t xml:space="preserve">2023-05-12</t>
  </si>
  <si>
    <r>
      <rPr>
        <sz val="10"/>
        <rFont val="DejaVu Sans"/>
        <family val="2"/>
      </rPr>
      <t xml:space="preserve">베리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</t>
    </r>
  </si>
  <si>
    <t xml:space="preserve">2024-12-25</t>
  </si>
  <si>
    <r>
      <rPr>
        <sz val="10"/>
        <rFont val="DejaVu Sans"/>
        <family val="2"/>
      </rPr>
      <t xml:space="preserve">프로틴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</t>
    </r>
  </si>
  <si>
    <t xml:space="preserve">2024-09-18</t>
  </si>
  <si>
    <r>
      <rPr>
        <sz val="10"/>
        <rFont val="DejaVu Sans"/>
        <family val="2"/>
      </rPr>
      <t xml:space="preserve">그린 스틱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개입</t>
    </r>
  </si>
  <si>
    <t xml:space="preserve">2024-07-24</t>
  </si>
  <si>
    <r>
      <rPr>
        <sz val="10"/>
        <rFont val="DejaVu Sans"/>
        <family val="2"/>
      </rPr>
      <t xml:space="preserve">베리 스틱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개입</t>
    </r>
  </si>
  <si>
    <t xml:space="preserve">2024-02-09</t>
  </si>
  <si>
    <r>
      <rPr>
        <sz val="10"/>
        <rFont val="DejaVu Sans"/>
        <family val="2"/>
      </rPr>
      <t xml:space="preserve">잼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스프레드</t>
    </r>
  </si>
  <si>
    <r>
      <rPr>
        <sz val="10"/>
        <rFont val="DejaVu Sans"/>
        <family val="2"/>
      </rPr>
      <t xml:space="preserve">무화과잼 </t>
    </r>
    <r>
      <rPr>
        <sz val="10"/>
        <rFont val="맑은 고딕"/>
        <family val="0"/>
        <charset val="1"/>
      </rPr>
      <t xml:space="preserve">250g</t>
    </r>
  </si>
  <si>
    <t xml:space="preserve">2023-03-12</t>
  </si>
  <si>
    <r>
      <rPr>
        <sz val="10"/>
        <rFont val="DejaVu Sans"/>
        <family val="2"/>
      </rPr>
      <t xml:space="preserve">블루베리잼 </t>
    </r>
    <r>
      <rPr>
        <sz val="10"/>
        <rFont val="맑은 고딕"/>
        <family val="0"/>
        <charset val="1"/>
      </rPr>
      <t xml:space="preserve">250g</t>
    </r>
  </si>
  <si>
    <t xml:space="preserve">2023-04-27</t>
  </si>
  <si>
    <r>
      <rPr>
        <sz val="10"/>
        <rFont val="DejaVu Sans"/>
        <family val="2"/>
      </rPr>
      <t xml:space="preserve">딸기잼 </t>
    </r>
    <r>
      <rPr>
        <sz val="10"/>
        <rFont val="맑은 고딕"/>
        <family val="0"/>
        <charset val="1"/>
      </rPr>
      <t xml:space="preserve">250g</t>
    </r>
  </si>
  <si>
    <t xml:space="preserve">2023-09-01</t>
  </si>
  <si>
    <r>
      <rPr>
        <sz val="10"/>
        <rFont val="DejaVu Sans"/>
        <family val="2"/>
      </rPr>
      <t xml:space="preserve">살구잼 </t>
    </r>
    <r>
      <rPr>
        <sz val="10"/>
        <rFont val="맑은 고딕"/>
        <family val="0"/>
        <charset val="1"/>
      </rPr>
      <t xml:space="preserve">250g</t>
    </r>
  </si>
  <si>
    <t xml:space="preserve">2023-11-23</t>
  </si>
  <si>
    <r>
      <rPr>
        <sz val="10"/>
        <rFont val="DejaVu Sans"/>
        <family val="2"/>
      </rPr>
      <t xml:space="preserve">아몬드버터 </t>
    </r>
    <r>
      <rPr>
        <sz val="10"/>
        <rFont val="맑은 고딕"/>
        <family val="0"/>
        <charset val="1"/>
      </rPr>
      <t xml:space="preserve">200g</t>
    </r>
  </si>
  <si>
    <t xml:space="preserve">2024-03-21</t>
  </si>
  <si>
    <r>
      <rPr>
        <sz val="10"/>
        <rFont val="DejaVu Sans"/>
        <family val="2"/>
      </rPr>
      <t xml:space="preserve">캐슈넛버터 </t>
    </r>
    <r>
      <rPr>
        <sz val="10"/>
        <rFont val="맑은 고딕"/>
        <family val="0"/>
        <charset val="1"/>
      </rPr>
      <t xml:space="preserve">200g</t>
    </r>
  </si>
  <si>
    <r>
      <rPr>
        <sz val="10"/>
        <rFont val="DejaVu Sans"/>
        <family val="2"/>
      </rPr>
      <t xml:space="preserve">피넛버터 </t>
    </r>
    <r>
      <rPr>
        <sz val="10"/>
        <rFont val="맑은 고딕"/>
        <family val="0"/>
        <charset val="1"/>
      </rPr>
      <t xml:space="preserve">200g</t>
    </r>
  </si>
  <si>
    <t xml:space="preserve">2024-02-23</t>
  </si>
  <si>
    <r>
      <rPr>
        <sz val="10"/>
        <rFont val="DejaVu Sans"/>
        <family val="2"/>
      </rPr>
      <t xml:space="preserve">헤이즐넛버터 </t>
    </r>
    <r>
      <rPr>
        <sz val="10"/>
        <rFont val="맑은 고딕"/>
        <family val="0"/>
        <charset val="1"/>
      </rPr>
      <t xml:space="preserve">200g</t>
    </r>
  </si>
  <si>
    <t xml:space="preserve">2024-08-21</t>
  </si>
  <si>
    <r>
      <rPr>
        <sz val="10"/>
        <rFont val="DejaVu Sans"/>
        <family val="2"/>
      </rPr>
      <t xml:space="preserve">무화과잼 </t>
    </r>
    <r>
      <rPr>
        <sz val="10"/>
        <rFont val="맑은 고딕"/>
        <family val="0"/>
        <charset val="1"/>
      </rPr>
      <t xml:space="preserve">500g</t>
    </r>
  </si>
  <si>
    <t xml:space="preserve">2023-01-15</t>
  </si>
  <si>
    <r>
      <rPr>
        <sz val="10"/>
        <rFont val="DejaVu Sans"/>
        <family val="2"/>
      </rPr>
      <t xml:space="preserve">블루베리잼 </t>
    </r>
    <r>
      <rPr>
        <sz val="10"/>
        <rFont val="맑은 고딕"/>
        <family val="0"/>
        <charset val="1"/>
      </rPr>
      <t xml:space="preserve">500g</t>
    </r>
  </si>
  <si>
    <t xml:space="preserve">2023-08-13</t>
  </si>
  <si>
    <r>
      <rPr>
        <sz val="10"/>
        <rFont val="DejaVu Sans"/>
        <family val="2"/>
      </rPr>
      <t xml:space="preserve">딸기잼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</si>
  <si>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아몬드버터 </t>
    </r>
    <r>
      <rPr>
        <sz val="10"/>
        <rFont val="맑은 고딕"/>
        <family val="0"/>
        <charset val="1"/>
      </rPr>
      <t xml:space="preserve">500g</t>
    </r>
  </si>
  <si>
    <t xml:space="preserve">2024-03-02</t>
  </si>
  <si>
    <t xml:space="preserve">음료</t>
  </si>
  <si>
    <r>
      <rPr>
        <sz val="10"/>
        <rFont val="DejaVu Sans"/>
        <family val="2"/>
      </rPr>
      <t xml:space="preserve">콜드브루 블랙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</t>
    </r>
  </si>
  <si>
    <t xml:space="preserve">2024-10-09</t>
  </si>
  <si>
    <r>
      <rPr>
        <sz val="10"/>
        <rFont val="DejaVu Sans"/>
        <family val="2"/>
      </rPr>
      <t xml:space="preserve">콜드브루 라떼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</t>
    </r>
  </si>
  <si>
    <t xml:space="preserve">2023-09-22</t>
  </si>
  <si>
    <r>
      <rPr>
        <sz val="10"/>
        <rFont val="DejaVu Sans"/>
        <family val="2"/>
      </rPr>
      <t xml:space="preserve">콤부차 레몬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</t>
    </r>
  </si>
  <si>
    <t xml:space="preserve">2023-09-24</t>
  </si>
  <si>
    <r>
      <rPr>
        <sz val="10"/>
        <rFont val="DejaVu Sans"/>
        <family val="2"/>
      </rPr>
      <t xml:space="preserve">콤부차 베리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</t>
    </r>
  </si>
  <si>
    <t xml:space="preserve">2023-03-24</t>
  </si>
  <si>
    <r>
      <rPr>
        <sz val="10"/>
        <rFont val="DejaVu Sans"/>
        <family val="2"/>
      </rPr>
      <t xml:space="preserve">콜드브루 블랙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</t>
    </r>
  </si>
  <si>
    <t xml:space="preserve">2024-06-16</t>
  </si>
  <si>
    <r>
      <rPr>
        <sz val="10"/>
        <rFont val="DejaVu Sans"/>
        <family val="2"/>
      </rPr>
      <t xml:space="preserve">콜드브루 라떼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</t>
    </r>
  </si>
  <si>
    <t xml:space="preserve">2024-10-14</t>
  </si>
  <si>
    <r>
      <rPr>
        <sz val="10"/>
        <rFont val="DejaVu Sans"/>
        <family val="2"/>
      </rPr>
      <t xml:space="preserve">콤부차 레몬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</t>
    </r>
  </si>
  <si>
    <t xml:space="preserve">2024-12-22</t>
  </si>
  <si>
    <r>
      <rPr>
        <sz val="10"/>
        <rFont val="DejaVu Sans"/>
        <family val="2"/>
      </rPr>
      <t xml:space="preserve">콤부차 베리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</t>
    </r>
  </si>
  <si>
    <t xml:space="preserve">2023-07-23</t>
  </si>
  <si>
    <r>
      <rPr>
        <sz val="10"/>
        <rFont val="DejaVu Sans"/>
        <family val="2"/>
      </rPr>
      <t xml:space="preserve">오트밀크 </t>
    </r>
    <r>
      <rPr>
        <sz val="10"/>
        <rFont val="맑은 고딕"/>
        <family val="0"/>
        <charset val="1"/>
      </rPr>
      <t xml:space="preserve">190ml x 6</t>
    </r>
  </si>
  <si>
    <t xml:space="preserve">2024-11-22</t>
  </si>
  <si>
    <r>
      <rPr>
        <sz val="10"/>
        <rFont val="DejaVu Sans"/>
        <family val="2"/>
      </rPr>
      <t xml:space="preserve">오트밀크 </t>
    </r>
    <r>
      <rPr>
        <sz val="10"/>
        <rFont val="맑은 고딕"/>
        <family val="0"/>
        <charset val="1"/>
      </rPr>
      <t xml:space="preserve">190ml x 12</t>
    </r>
  </si>
  <si>
    <t xml:space="preserve">2024-04-17</t>
  </si>
  <si>
    <r>
      <rPr>
        <sz val="10"/>
        <rFont val="DejaVu Sans"/>
        <family val="2"/>
      </rPr>
      <t xml:space="preserve">프로틴워터 </t>
    </r>
    <r>
      <rPr>
        <sz val="10"/>
        <rFont val="맑은 고딕"/>
        <family val="0"/>
        <charset val="1"/>
      </rPr>
      <t xml:space="preserve">500ml x 6</t>
    </r>
  </si>
  <si>
    <r>
      <rPr>
        <sz val="10"/>
        <rFont val="DejaVu Sans"/>
        <family val="2"/>
      </rPr>
      <t xml:space="preserve">프로틴워터 </t>
    </r>
    <r>
      <rPr>
        <sz val="10"/>
        <rFont val="맑은 고딕"/>
        <family val="0"/>
        <charset val="1"/>
      </rPr>
      <t xml:space="preserve">500ml x 12</t>
    </r>
  </si>
  <si>
    <t xml:space="preserve">2023-06-22</t>
  </si>
  <si>
    <t xml:space="preserve">견과류</t>
  </si>
  <si>
    <r>
      <rPr>
        <sz val="10"/>
        <rFont val="DejaVu Sans"/>
        <family val="2"/>
      </rPr>
      <t xml:space="preserve">믹스넛 </t>
    </r>
    <r>
      <rPr>
        <sz val="10"/>
        <rFont val="맑은 고딕"/>
        <family val="0"/>
        <charset val="1"/>
      </rPr>
      <t xml:space="preserve">500g</t>
    </r>
  </si>
  <si>
    <t xml:space="preserve">2024-09-15</t>
  </si>
  <si>
    <r>
      <rPr>
        <sz val="10"/>
        <rFont val="DejaVu Sans"/>
        <family val="2"/>
      </rPr>
      <t xml:space="preserve">아몬드 </t>
    </r>
    <r>
      <rPr>
        <sz val="10"/>
        <rFont val="맑은 고딕"/>
        <family val="0"/>
        <charset val="1"/>
      </rPr>
      <t xml:space="preserve">500g</t>
    </r>
  </si>
  <si>
    <t xml:space="preserve">2024-04-23</t>
  </si>
  <si>
    <r>
      <rPr>
        <sz val="10"/>
        <rFont val="DejaVu Sans"/>
        <family val="2"/>
      </rPr>
      <t xml:space="preserve">캐슈넛 </t>
    </r>
    <r>
      <rPr>
        <sz val="10"/>
        <rFont val="맑은 고딕"/>
        <family val="0"/>
        <charset val="1"/>
      </rPr>
      <t xml:space="preserve">500g</t>
    </r>
  </si>
  <si>
    <t xml:space="preserve">2024-10-22</t>
  </si>
  <si>
    <r>
      <rPr>
        <sz val="10"/>
        <rFont val="DejaVu Sans"/>
        <family val="2"/>
      </rPr>
      <t xml:space="preserve">호두 </t>
    </r>
    <r>
      <rPr>
        <sz val="10"/>
        <rFont val="맑은 고딕"/>
        <family val="0"/>
        <charset val="1"/>
      </rPr>
      <t xml:space="preserve">500g</t>
    </r>
  </si>
  <si>
    <t xml:space="preserve">2024-03-01</t>
  </si>
  <si>
    <r>
      <rPr>
        <sz val="10"/>
        <rFont val="DejaVu Sans"/>
        <family val="2"/>
      </rPr>
      <t xml:space="preserve">피칸 </t>
    </r>
    <r>
      <rPr>
        <sz val="10"/>
        <rFont val="맑은 고딕"/>
        <family val="0"/>
        <charset val="1"/>
      </rPr>
      <t xml:space="preserve">300g</t>
    </r>
  </si>
  <si>
    <t xml:space="preserve">2024-07-17</t>
  </si>
  <si>
    <r>
      <rPr>
        <sz val="10"/>
        <rFont val="DejaVu Sans"/>
        <family val="2"/>
      </rPr>
      <t xml:space="preserve">마카다미아 </t>
    </r>
    <r>
      <rPr>
        <sz val="10"/>
        <rFont val="맑은 고딕"/>
        <family val="0"/>
        <charset val="1"/>
      </rPr>
      <t xml:space="preserve">300g</t>
    </r>
  </si>
  <si>
    <t xml:space="preserve">2024-12-13</t>
  </si>
  <si>
    <r>
      <rPr>
        <sz val="10"/>
        <rFont val="DejaVu Sans"/>
        <family val="2"/>
      </rPr>
      <t xml:space="preserve">믹스넛 </t>
    </r>
    <r>
      <rPr>
        <sz val="10"/>
        <rFont val="맑은 고딕"/>
        <family val="0"/>
        <charset val="1"/>
      </rPr>
      <t xml:space="preserve">1kg</t>
    </r>
  </si>
  <si>
    <t xml:space="preserve">2023-11-15</t>
  </si>
  <si>
    <r>
      <rPr>
        <sz val="10"/>
        <rFont val="DejaVu Sans"/>
        <family val="2"/>
      </rPr>
      <t xml:space="preserve">아몬드 </t>
    </r>
    <r>
      <rPr>
        <sz val="10"/>
        <rFont val="맑은 고딕"/>
        <family val="0"/>
        <charset val="1"/>
      </rPr>
      <t xml:space="preserve">1kg</t>
    </r>
  </si>
  <si>
    <t xml:space="preserve">2024-08-16</t>
  </si>
  <si>
    <r>
      <rPr>
        <sz val="10"/>
        <rFont val="DejaVu Sans"/>
        <family val="2"/>
      </rPr>
      <t xml:space="preserve">캐슈넛 </t>
    </r>
    <r>
      <rPr>
        <sz val="10"/>
        <rFont val="맑은 고딕"/>
        <family val="0"/>
        <charset val="1"/>
      </rPr>
      <t xml:space="preserve">1kg</t>
    </r>
  </si>
  <si>
    <t xml:space="preserve">2023-07-13</t>
  </si>
  <si>
    <r>
      <rPr>
        <sz val="10"/>
        <rFont val="DejaVu Sans"/>
        <family val="2"/>
      </rPr>
      <t xml:space="preserve">호두 </t>
    </r>
    <r>
      <rPr>
        <sz val="10"/>
        <rFont val="맑은 고딕"/>
        <family val="0"/>
        <charset val="1"/>
      </rPr>
      <t xml:space="preserve">1kg</t>
    </r>
  </si>
  <si>
    <t xml:space="preserve">2024-10-25</t>
  </si>
  <si>
    <r>
      <rPr>
        <sz val="10"/>
        <rFont val="DejaVu Sans"/>
        <family val="2"/>
      </rPr>
      <t xml:space="preserve">하루견과 </t>
    </r>
    <r>
      <rPr>
        <sz val="10"/>
        <rFont val="맑은 고딕"/>
        <family val="0"/>
        <charset val="1"/>
      </rPr>
      <t xml:space="preserve">25g x 30</t>
    </r>
    <r>
      <rPr>
        <sz val="10"/>
        <rFont val="DejaVu Sans"/>
        <family val="2"/>
      </rPr>
      <t xml:space="preserve">봉</t>
    </r>
  </si>
  <si>
    <r>
      <rPr>
        <sz val="10"/>
        <rFont val="DejaVu Sans"/>
        <family val="2"/>
      </rPr>
      <t xml:space="preserve">하루견과 </t>
    </r>
    <r>
      <rPr>
        <sz val="10"/>
        <rFont val="맑은 고딕"/>
        <family val="0"/>
        <charset val="1"/>
      </rPr>
      <t xml:space="preserve">25g x 50</t>
    </r>
    <r>
      <rPr>
        <sz val="10"/>
        <rFont val="DejaVu Sans"/>
        <family val="2"/>
      </rPr>
      <t xml:space="preserve">봉</t>
    </r>
  </si>
  <si>
    <t xml:space="preserve">2024-11-19</t>
  </si>
  <si>
    <r>
      <rPr>
        <sz val="10"/>
        <rFont val="DejaVu Sans"/>
        <family val="2"/>
      </rPr>
      <t xml:space="preserve">허니버터 아몬드 </t>
    </r>
    <r>
      <rPr>
        <sz val="10"/>
        <rFont val="맑은 고딕"/>
        <family val="0"/>
        <charset val="1"/>
      </rPr>
      <t xml:space="preserve">200g</t>
    </r>
  </si>
  <si>
    <t xml:space="preserve">2023-07-11</t>
  </si>
  <si>
    <r>
      <rPr>
        <sz val="10"/>
        <rFont val="DejaVu Sans"/>
        <family val="2"/>
      </rPr>
      <t xml:space="preserve">와사비 아몬드 </t>
    </r>
    <r>
      <rPr>
        <sz val="10"/>
        <rFont val="맑은 고딕"/>
        <family val="0"/>
        <charset val="1"/>
      </rPr>
      <t xml:space="preserve">200g</t>
    </r>
  </si>
  <si>
    <t xml:space="preserve">2024-11-09</t>
  </si>
  <si>
    <t xml:space="preserve">시리얼</t>
  </si>
  <si>
    <r>
      <rPr>
        <sz val="10"/>
        <rFont val="DejaVu Sans"/>
        <family val="2"/>
      </rPr>
      <t xml:space="preserve">현미플레이크 </t>
    </r>
    <r>
      <rPr>
        <sz val="10"/>
        <rFont val="맑은 고딕"/>
        <family val="0"/>
        <charset val="1"/>
      </rPr>
      <t xml:space="preserve">500g</t>
    </r>
  </si>
  <si>
    <t xml:space="preserve">2023-06-12</t>
  </si>
  <si>
    <r>
      <rPr>
        <sz val="10"/>
        <rFont val="DejaVu Sans"/>
        <family val="2"/>
      </rPr>
      <t xml:space="preserve">콘플레이크 </t>
    </r>
    <r>
      <rPr>
        <sz val="10"/>
        <rFont val="맑은 고딕"/>
        <family val="0"/>
        <charset val="1"/>
      </rPr>
      <t xml:space="preserve">500g</t>
    </r>
  </si>
  <si>
    <t xml:space="preserve">2024-12-05</t>
  </si>
  <si>
    <r>
      <rPr>
        <sz val="10"/>
        <rFont val="DejaVu Sans"/>
        <family val="2"/>
      </rPr>
      <t xml:space="preserve">초코볼 </t>
    </r>
    <r>
      <rPr>
        <sz val="10"/>
        <rFont val="맑은 고딕"/>
        <family val="0"/>
        <charset val="1"/>
      </rPr>
      <t xml:space="preserve">500g</t>
    </r>
  </si>
  <si>
    <t xml:space="preserve">2024-10-10</t>
  </si>
  <si>
    <r>
      <rPr>
        <sz val="10"/>
        <rFont val="DejaVu Sans"/>
        <family val="2"/>
      </rPr>
      <t xml:space="preserve">오트밀 </t>
    </r>
    <r>
      <rPr>
        <sz val="10"/>
        <rFont val="맑은 고딕"/>
        <family val="0"/>
        <charset val="1"/>
      </rPr>
      <t xml:space="preserve">500g</t>
    </r>
  </si>
  <si>
    <t xml:space="preserve">2023-11-09</t>
  </si>
  <si>
    <r>
      <rPr>
        <sz val="10"/>
        <rFont val="DejaVu Sans"/>
        <family val="2"/>
      </rPr>
      <t xml:space="preserve">뮤즐리 </t>
    </r>
    <r>
      <rPr>
        <sz val="10"/>
        <rFont val="맑은 고딕"/>
        <family val="0"/>
        <charset val="1"/>
      </rPr>
      <t xml:space="preserve">500g</t>
    </r>
  </si>
  <si>
    <t xml:space="preserve">2023-03-11</t>
  </si>
  <si>
    <r>
      <rPr>
        <sz val="10"/>
        <rFont val="DejaVu Sans"/>
        <family val="2"/>
      </rPr>
      <t xml:space="preserve">현미플레이크 </t>
    </r>
    <r>
      <rPr>
        <sz val="10"/>
        <rFont val="맑은 고딕"/>
        <family val="0"/>
        <charset val="1"/>
      </rPr>
      <t xml:space="preserve">1kg</t>
    </r>
  </si>
  <si>
    <t xml:space="preserve">2023-08-19</t>
  </si>
  <si>
    <r>
      <rPr>
        <sz val="10"/>
        <rFont val="DejaVu Sans"/>
        <family val="2"/>
      </rPr>
      <t xml:space="preserve">콘플레이크 </t>
    </r>
    <r>
      <rPr>
        <sz val="10"/>
        <rFont val="맑은 고딕"/>
        <family val="0"/>
        <charset val="1"/>
      </rPr>
      <t xml:space="preserve">1kg</t>
    </r>
  </si>
  <si>
    <t xml:space="preserve">2024-04-07</t>
  </si>
  <si>
    <r>
      <rPr>
        <sz val="10"/>
        <rFont val="DejaVu Sans"/>
        <family val="2"/>
      </rPr>
      <t xml:space="preserve">초코볼 </t>
    </r>
    <r>
      <rPr>
        <sz val="10"/>
        <rFont val="맑은 고딕"/>
        <family val="0"/>
        <charset val="1"/>
      </rPr>
      <t xml:space="preserve">1kg</t>
    </r>
  </si>
  <si>
    <t xml:space="preserve">2023-08-04</t>
  </si>
  <si>
    <r>
      <rPr>
        <sz val="10"/>
        <rFont val="DejaVu Sans"/>
        <family val="2"/>
      </rPr>
      <t xml:space="preserve">오트밀 </t>
    </r>
    <r>
      <rPr>
        <sz val="10"/>
        <rFont val="맑은 고딕"/>
        <family val="0"/>
        <charset val="1"/>
      </rPr>
      <t xml:space="preserve">1kg</t>
    </r>
  </si>
  <si>
    <t xml:space="preserve">2024-01-03</t>
  </si>
  <si>
    <r>
      <rPr>
        <sz val="10"/>
        <rFont val="DejaVu Sans"/>
        <family val="2"/>
      </rPr>
      <t xml:space="preserve">뮤즐리 </t>
    </r>
    <r>
      <rPr>
        <sz val="10"/>
        <rFont val="맑은 고딕"/>
        <family val="0"/>
        <charset val="1"/>
      </rPr>
      <t xml:space="preserve">1kg</t>
    </r>
  </si>
  <si>
    <t xml:space="preserve">2024-08-15</t>
  </si>
  <si>
    <r>
      <rPr>
        <sz val="10"/>
        <rFont val="DejaVu Sans"/>
        <family val="2"/>
      </rPr>
      <t xml:space="preserve">오트밀 스틱 </t>
    </r>
    <r>
      <rPr>
        <sz val="10"/>
        <rFont val="맑은 고딕"/>
        <family val="0"/>
        <charset val="1"/>
      </rPr>
      <t xml:space="preserve">30g x 10</t>
    </r>
  </si>
  <si>
    <t xml:space="preserve">2023-04-17</t>
  </si>
  <si>
    <r>
      <rPr>
        <sz val="10"/>
        <rFont val="DejaVu Sans"/>
        <family val="2"/>
      </rPr>
      <t xml:space="preserve">오트밀 스틱 </t>
    </r>
    <r>
      <rPr>
        <sz val="10"/>
        <rFont val="맑은 고딕"/>
        <family val="0"/>
        <charset val="1"/>
      </rPr>
      <t xml:space="preserve">30g x 30</t>
    </r>
  </si>
  <si>
    <t xml:space="preserve">2023-10-28</t>
  </si>
  <si>
    <t xml:space="preserve">선물세트</t>
  </si>
  <si>
    <r>
      <rPr>
        <sz val="10"/>
        <rFont val="DejaVu Sans"/>
        <family val="2"/>
      </rPr>
      <t xml:space="preserve">그래놀라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프로틴바 </t>
    </r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세트</t>
    </r>
  </si>
  <si>
    <t xml:space="preserve">2023-03-27</t>
  </si>
  <si>
    <r>
      <rPr>
        <sz val="10"/>
        <rFont val="DejaVu Sans"/>
        <family val="2"/>
      </rPr>
      <t xml:space="preserve">프리미엄 </t>
    </r>
    <r>
      <rPr>
        <sz val="10"/>
        <rFont val="맑은 고딕"/>
        <family val="0"/>
        <charset val="1"/>
      </rPr>
      <t xml:space="preserve">B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</si>
  <si>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스무디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잼 </t>
    </r>
    <r>
      <rPr>
        <sz val="10"/>
        <rFont val="맑은 고딕"/>
        <family val="0"/>
        <charset val="1"/>
      </rPr>
      <t xml:space="preserve">C</t>
    </r>
    <r>
      <rPr>
        <sz val="10"/>
        <rFont val="DejaVu Sans"/>
        <family val="2"/>
      </rPr>
      <t xml:space="preserve">세트</t>
    </r>
  </si>
  <si>
    <t xml:space="preserve">2023-12-18</t>
  </si>
  <si>
    <r>
      <rPr>
        <sz val="10"/>
        <rFont val="DejaVu Sans"/>
        <family val="2"/>
      </rPr>
      <t xml:space="preserve">견과류 </t>
    </r>
    <r>
      <rPr>
        <sz val="10"/>
        <rFont val="맑은 고딕"/>
        <family val="0"/>
        <charset val="1"/>
      </rPr>
      <t xml:space="preserve">D</t>
    </r>
    <r>
      <rPr>
        <sz val="10"/>
        <rFont val="DejaVu Sans"/>
        <family val="2"/>
      </rPr>
      <t xml:space="preserve">세트</t>
    </r>
  </si>
  <si>
    <t xml:space="preserve">2023-06-21</t>
  </si>
  <si>
    <r>
      <rPr>
        <sz val="10"/>
        <rFont val="DejaVu Sans"/>
        <family val="2"/>
      </rPr>
      <t xml:space="preserve">음료 모음 </t>
    </r>
    <r>
      <rPr>
        <sz val="10"/>
        <rFont val="맑은 고딕"/>
        <family val="0"/>
        <charset val="1"/>
      </rPr>
      <t xml:space="preserve">E</t>
    </r>
    <r>
      <rPr>
        <sz val="10"/>
        <rFont val="DejaVu Sans"/>
        <family val="2"/>
      </rPr>
      <t xml:space="preserve">세트</t>
    </r>
  </si>
  <si>
    <t xml:space="preserve">2024-04-04</t>
  </si>
  <si>
    <r>
      <rPr>
        <sz val="10"/>
        <rFont val="DejaVu Sans"/>
        <family val="2"/>
      </rPr>
      <t xml:space="preserve">올인원 </t>
    </r>
    <r>
      <rPr>
        <sz val="10"/>
        <rFont val="맑은 고딕"/>
        <family val="0"/>
        <charset val="1"/>
      </rPr>
      <t xml:space="preserve">F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</si>
  <si>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미니 체험 </t>
    </r>
    <r>
      <rPr>
        <sz val="10"/>
        <rFont val="맑은 고딕"/>
        <family val="0"/>
        <charset val="1"/>
      </rPr>
      <t xml:space="preserve">G</t>
    </r>
    <r>
      <rPr>
        <sz val="10"/>
        <rFont val="DejaVu Sans"/>
        <family val="2"/>
      </rPr>
      <t xml:space="preserve">세트</t>
    </r>
  </si>
  <si>
    <t xml:space="preserve">2024-02-12</t>
  </si>
  <si>
    <r>
      <rPr>
        <sz val="10"/>
        <rFont val="DejaVu Sans"/>
        <family val="2"/>
      </rPr>
      <t xml:space="preserve">명절 특대 </t>
    </r>
    <r>
      <rPr>
        <sz val="10"/>
        <rFont val="맑은 고딕"/>
        <family val="0"/>
        <charset val="1"/>
      </rPr>
      <t xml:space="preserve">H</t>
    </r>
    <r>
      <rPr>
        <sz val="10"/>
        <rFont val="DejaVu Sans"/>
        <family val="2"/>
      </rPr>
      <t xml:space="preserve">세트</t>
    </r>
  </si>
  <si>
    <t xml:space="preserve">2024-04-10</t>
  </si>
  <si>
    <r>
      <rPr>
        <sz val="10"/>
        <rFont val="DejaVu Sans"/>
        <family val="2"/>
      </rPr>
      <t xml:space="preserve">오피스 간식 </t>
    </r>
    <r>
      <rPr>
        <sz val="10"/>
        <rFont val="맑은 고딕"/>
        <family val="0"/>
        <charset val="1"/>
      </rPr>
      <t xml:space="preserve">I</t>
    </r>
    <r>
      <rPr>
        <sz val="10"/>
        <rFont val="DejaVu Sans"/>
        <family val="2"/>
      </rPr>
      <t xml:space="preserve">세트</t>
    </r>
  </si>
  <si>
    <t xml:space="preserve">2024-12-09</t>
  </si>
  <si>
    <r>
      <rPr>
        <sz val="10"/>
        <rFont val="DejaVu Sans"/>
        <family val="2"/>
      </rPr>
      <t xml:space="preserve">키즈 </t>
    </r>
    <r>
      <rPr>
        <sz val="10"/>
        <rFont val="맑은 고딕"/>
        <family val="0"/>
        <charset val="1"/>
      </rPr>
      <t xml:space="preserve">J</t>
    </r>
    <r>
      <rPr>
        <sz val="10"/>
        <rFont val="DejaVu Sans"/>
        <family val="2"/>
      </rPr>
      <t xml:space="preserve">세트</t>
    </r>
  </si>
  <si>
    <t xml:space="preserve">2024-06-24</t>
  </si>
  <si>
    <r>
      <rPr>
        <sz val="10"/>
        <rFont val="DejaVu Sans"/>
        <family val="2"/>
      </rPr>
      <t xml:space="preserve">다이어트 </t>
    </r>
    <r>
      <rPr>
        <sz val="10"/>
        <rFont val="맑은 고딕"/>
        <family val="0"/>
        <charset val="1"/>
      </rPr>
      <t xml:space="preserve">K</t>
    </r>
    <r>
      <rPr>
        <sz val="10"/>
        <rFont val="DejaVu Sans"/>
        <family val="2"/>
      </rPr>
      <t xml:space="preserve">세트</t>
    </r>
  </si>
  <si>
    <t xml:space="preserve">2023-01-01</t>
  </si>
  <si>
    <r>
      <rPr>
        <sz val="10"/>
        <rFont val="DejaVu Sans"/>
        <family val="2"/>
      </rPr>
      <t xml:space="preserve">커플 </t>
    </r>
    <r>
      <rPr>
        <sz val="10"/>
        <rFont val="맑은 고딕"/>
        <family val="0"/>
        <charset val="1"/>
      </rPr>
      <t xml:space="preserve">L</t>
    </r>
    <r>
      <rPr>
        <sz val="10"/>
        <rFont val="DejaVu Sans"/>
        <family val="2"/>
      </rPr>
      <t xml:space="preserve">세트</t>
    </r>
  </si>
  <si>
    <t xml:space="preserve">2023-10-27</t>
  </si>
  <si>
    <t xml:space="preserve">본사창고</t>
  </si>
  <si>
    <r>
      <rPr>
        <b val="true"/>
        <sz val="10"/>
        <color rgb="FFFFFFFF"/>
        <rFont val="DejaVu Sans"/>
        <family val="2"/>
      </rPr>
      <t xml:space="preserve">외부창고</t>
    </r>
    <r>
      <rPr>
        <b val="true"/>
        <sz val="10"/>
        <color rgb="FFFFFFFF"/>
        <rFont val="맑은 고딕"/>
        <family val="0"/>
        <charset val="1"/>
      </rPr>
      <t xml:space="preserve">A</t>
    </r>
  </si>
  <si>
    <r>
      <rPr>
        <b val="true"/>
        <sz val="10"/>
        <color rgb="FFFFFFFF"/>
        <rFont val="DejaVu Sans"/>
        <family val="2"/>
      </rPr>
      <t xml:space="preserve">외부창고</t>
    </r>
    <r>
      <rPr>
        <b val="true"/>
        <sz val="10"/>
        <color rgb="FFFFFFFF"/>
        <rFont val="맑은 고딕"/>
        <family val="0"/>
        <charset val="1"/>
      </rPr>
      <t xml:space="preserve">B</t>
    </r>
  </si>
  <si>
    <t xml:space="preserve">총재고</t>
  </si>
  <si>
    <t xml:space="preserve">안전재고</t>
  </si>
  <si>
    <t xml:space="preserve">재고상태</t>
  </si>
  <si>
    <t xml:space="preserve">최근입고일</t>
  </si>
  <si>
    <t xml:space="preserve">정상</t>
  </si>
  <si>
    <t xml:space="preserve">2025-03-24</t>
  </si>
  <si>
    <t xml:space="preserve">2025-03-16</t>
  </si>
  <si>
    <t xml:space="preserve">2025-03-08</t>
  </si>
  <si>
    <t xml:space="preserve">2025-03-20</t>
  </si>
  <si>
    <t xml:space="preserve">2025-03-27</t>
  </si>
  <si>
    <t xml:space="preserve">2025-03-12</t>
  </si>
  <si>
    <t xml:space="preserve">2025-03-17</t>
  </si>
  <si>
    <t xml:space="preserve">2025-03-18</t>
  </si>
  <si>
    <t xml:space="preserve">2025-03-06</t>
  </si>
  <si>
    <t xml:space="preserve">2025-03-23</t>
  </si>
  <si>
    <t xml:space="preserve">2025-03-14</t>
  </si>
  <si>
    <t xml:space="preserve">2025-03-01</t>
  </si>
  <si>
    <t xml:space="preserve">2025-03-26</t>
  </si>
  <si>
    <t xml:space="preserve">2025-03-21</t>
  </si>
  <si>
    <t xml:space="preserve">2025-03-09</t>
  </si>
  <si>
    <t xml:space="preserve">2025-03-22</t>
  </si>
  <si>
    <t xml:space="preserve">2025-03-15</t>
  </si>
  <si>
    <t xml:space="preserve">2025-03-03</t>
  </si>
  <si>
    <t xml:space="preserve">2025-03-25</t>
  </si>
  <si>
    <t xml:space="preserve">2025-03-02</t>
  </si>
  <si>
    <t xml:space="preserve">2025-03-04</t>
  </si>
  <si>
    <t xml:space="preserve">2025-03-28</t>
  </si>
  <si>
    <t xml:space="preserve">부족</t>
  </si>
  <si>
    <t xml:space="preserve">2025-03-10</t>
  </si>
  <si>
    <t xml:space="preserve">2025-03-13</t>
  </si>
  <si>
    <t xml:space="preserve">2025-03-07</t>
  </si>
  <si>
    <t xml:space="preserve">2025-03-11</t>
  </si>
  <si>
    <t xml:space="preserve">2025-03-05</t>
  </si>
  <si>
    <t xml:space="preserve">2025-03-19</t>
  </si>
  <si>
    <t xml:space="preserve">채널상품번호</t>
  </si>
  <si>
    <t xml:space="preserve">등록상품명</t>
  </si>
  <si>
    <t xml:space="preserve">판매가</t>
  </si>
  <si>
    <t xml:space="preserve">할인율</t>
  </si>
  <si>
    <t xml:space="preserve">할인가</t>
  </si>
  <si>
    <t xml:space="preserve">수수료율</t>
  </si>
  <si>
    <t xml:space="preserve">정산가</t>
  </si>
  <si>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DejaVu Sans"/>
        <family val="2"/>
      </rPr>
      <t xml:space="preserve">월판매량</t>
    </r>
  </si>
  <si>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DejaVu Sans"/>
        <family val="2"/>
      </rPr>
      <t xml:space="preserve">월매출</t>
    </r>
  </si>
  <si>
    <t xml:space="preserve">리뷰수</t>
  </si>
  <si>
    <t xml:space="preserve">평점</t>
  </si>
  <si>
    <t xml:space="preserve">등록일</t>
  </si>
  <si>
    <t xml:space="preserve">NV49729772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</si>
  <si>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오리지널 </t>
    </r>
    <r>
      <rPr>
        <sz val="10"/>
        <rFont val="맑은 고딕"/>
        <family val="0"/>
        <charset val="1"/>
      </rPr>
      <t xml:space="preserve">400g / </t>
    </r>
    <r>
      <rPr>
        <sz val="10"/>
        <rFont val="DejaVu Sans"/>
        <family val="2"/>
      </rPr>
      <t xml:space="preserve">무료배송</t>
    </r>
  </si>
  <si>
    <t xml:space="preserve">2023-11-10</t>
  </si>
  <si>
    <t xml:space="preserve">NV17507749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</si>
  <si>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다크초코 </t>
    </r>
    <r>
      <rPr>
        <sz val="10"/>
        <rFont val="맑은 고딕"/>
        <family val="0"/>
        <charset val="1"/>
      </rPr>
      <t xml:space="preserve">400g / </t>
    </r>
    <r>
      <rPr>
        <sz val="10"/>
        <rFont val="DejaVu Sans"/>
        <family val="2"/>
      </rPr>
      <t xml:space="preserve">무료배송</t>
    </r>
  </si>
  <si>
    <t xml:space="preserve">2023-02-23</t>
  </si>
  <si>
    <t xml:space="preserve">NV31704642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</si>
  <si>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베리믹스 </t>
    </r>
    <r>
      <rPr>
        <sz val="10"/>
        <rFont val="맑은 고딕"/>
        <family val="0"/>
        <charset val="1"/>
      </rPr>
      <t xml:space="preserve">400g / </t>
    </r>
    <r>
      <rPr>
        <sz val="10"/>
        <rFont val="DejaVu Sans"/>
        <family val="2"/>
      </rPr>
      <t xml:space="preserve">무료배송</t>
    </r>
  </si>
  <si>
    <t xml:space="preserve">2024-06-09</t>
  </si>
  <si>
    <t xml:space="preserve">NV40214166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</si>
  <si>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코코넛 </t>
    </r>
    <r>
      <rPr>
        <sz val="10"/>
        <rFont val="맑은 고딕"/>
        <family val="0"/>
        <charset val="1"/>
      </rPr>
      <t xml:space="preserve">400g / </t>
    </r>
    <r>
      <rPr>
        <sz val="10"/>
        <rFont val="DejaVu Sans"/>
        <family val="2"/>
      </rPr>
      <t xml:space="preserve">무료배송</t>
    </r>
  </si>
  <si>
    <t xml:space="preserve">2024-06-28</t>
  </si>
  <si>
    <t xml:space="preserve">NV40121769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</si>
  <si>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말차 </t>
    </r>
    <r>
      <rPr>
        <sz val="10"/>
        <rFont val="맑은 고딕"/>
        <family val="0"/>
        <charset val="1"/>
      </rPr>
      <t xml:space="preserve">400g / </t>
    </r>
    <r>
      <rPr>
        <sz val="10"/>
        <rFont val="DejaVu Sans"/>
        <family val="2"/>
      </rPr>
      <t xml:space="preserve">무료배송</t>
    </r>
  </si>
  <si>
    <t xml:space="preserve">2023-04-05</t>
  </si>
  <si>
    <t xml:space="preserve">NV85334643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</si>
  <si>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꿀귀리 </t>
    </r>
    <r>
      <rPr>
        <sz val="10"/>
        <rFont val="맑은 고딕"/>
        <family val="0"/>
        <charset val="1"/>
      </rPr>
      <t xml:space="preserve">400g / </t>
    </r>
    <r>
      <rPr>
        <sz val="10"/>
        <rFont val="DejaVu Sans"/>
        <family val="2"/>
      </rPr>
      <t xml:space="preserve">무료배송</t>
    </r>
  </si>
  <si>
    <t xml:space="preserve">2023-09-09</t>
  </si>
  <si>
    <t xml:space="preserve">NV57822552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</si>
  <si>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트로피컬 </t>
    </r>
    <r>
      <rPr>
        <sz val="10"/>
        <rFont val="맑은 고딕"/>
        <family val="0"/>
        <charset val="1"/>
      </rPr>
      <t xml:space="preserve">400g / </t>
    </r>
    <r>
      <rPr>
        <sz val="10"/>
        <rFont val="DejaVu Sans"/>
        <family val="2"/>
      </rPr>
      <t xml:space="preserve">무료배송</t>
    </r>
  </si>
  <si>
    <t xml:space="preserve">2023-02-10</t>
  </si>
  <si>
    <t xml:space="preserve">NV69128223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</si>
  <si>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팥앙금 </t>
    </r>
    <r>
      <rPr>
        <sz val="10"/>
        <rFont val="맑은 고딕"/>
        <family val="0"/>
        <charset val="1"/>
      </rPr>
      <t xml:space="preserve">400g / </t>
    </r>
    <r>
      <rPr>
        <sz val="10"/>
        <rFont val="DejaVu Sans"/>
        <family val="2"/>
      </rPr>
      <t xml:space="preserve">무료배송</t>
    </r>
  </si>
  <si>
    <t xml:space="preserve">2024-05-14</t>
  </si>
  <si>
    <t xml:space="preserve">NV97804467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</si>
  <si>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흑임자 </t>
    </r>
    <r>
      <rPr>
        <sz val="10"/>
        <rFont val="맑은 고딕"/>
        <family val="0"/>
        <charset val="1"/>
      </rPr>
      <t xml:space="preserve">400g / </t>
    </r>
    <r>
      <rPr>
        <sz val="10"/>
        <rFont val="DejaVu Sans"/>
        <family val="2"/>
      </rPr>
      <t xml:space="preserve">무료배송</t>
    </r>
  </si>
  <si>
    <t xml:space="preserve">2023-12-16</t>
  </si>
  <si>
    <t xml:space="preserve">NV13182792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</si>
  <si>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오리지널 </t>
    </r>
    <r>
      <rPr>
        <sz val="10"/>
        <rFont val="맑은 고딕"/>
        <family val="0"/>
        <charset val="1"/>
      </rPr>
      <t xml:space="preserve">1kg / </t>
    </r>
    <r>
      <rPr>
        <sz val="10"/>
        <rFont val="DejaVu Sans"/>
        <family val="2"/>
      </rPr>
      <t xml:space="preserve">무료배송</t>
    </r>
  </si>
  <si>
    <t xml:space="preserve">2024-09-21</t>
  </si>
  <si>
    <t xml:space="preserve">NV16110989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</si>
  <si>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다크초코 </t>
    </r>
    <r>
      <rPr>
        <sz val="10"/>
        <rFont val="맑은 고딕"/>
        <family val="0"/>
        <charset val="1"/>
      </rPr>
      <t xml:space="preserve">1kg / </t>
    </r>
    <r>
      <rPr>
        <sz val="10"/>
        <rFont val="DejaVu Sans"/>
        <family val="2"/>
      </rPr>
      <t xml:space="preserve">무료배송</t>
    </r>
  </si>
  <si>
    <t xml:space="preserve">2024-04-09</t>
  </si>
  <si>
    <t xml:space="preserve">NV60492949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</si>
  <si>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베리믹스 </t>
    </r>
    <r>
      <rPr>
        <sz val="10"/>
        <rFont val="맑은 고딕"/>
        <family val="0"/>
        <charset val="1"/>
      </rPr>
      <t xml:space="preserve">1kg / </t>
    </r>
    <r>
      <rPr>
        <sz val="10"/>
        <rFont val="DejaVu Sans"/>
        <family val="2"/>
      </rPr>
      <t xml:space="preserve">무료배송</t>
    </r>
  </si>
  <si>
    <t xml:space="preserve">2023-02-11</t>
  </si>
  <si>
    <t xml:space="preserve">NV95275345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</si>
  <si>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미니팩 </t>
    </r>
    <r>
      <rPr>
        <sz val="10"/>
        <rFont val="맑은 고딕"/>
        <family val="0"/>
        <charset val="1"/>
      </rPr>
      <t xml:space="preserve">30g x 20 / </t>
    </r>
    <r>
      <rPr>
        <sz val="10"/>
        <rFont val="DejaVu Sans"/>
        <family val="2"/>
      </rPr>
      <t xml:space="preserve">무료배송</t>
    </r>
  </si>
  <si>
    <t xml:space="preserve">2023-02-07</t>
  </si>
  <si>
    <t xml:space="preserve">NV97415684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</si>
  <si>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오리지널 </t>
    </r>
    <r>
      <rPr>
        <sz val="10"/>
        <rFont val="맑은 고딕"/>
        <family val="0"/>
        <charset val="1"/>
      </rPr>
      <t xml:space="preserve">200g / </t>
    </r>
    <r>
      <rPr>
        <sz val="10"/>
        <rFont val="DejaVu Sans"/>
        <family val="2"/>
      </rPr>
      <t xml:space="preserve">무료배송</t>
    </r>
  </si>
  <si>
    <t xml:space="preserve">2024-01-27</t>
  </si>
  <si>
    <t xml:space="preserve">NV90787660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</si>
  <si>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초코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</si>
  <si>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2023-07-24</t>
  </si>
  <si>
    <t xml:space="preserve">NV98536629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</si>
  <si>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피넛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</si>
  <si>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2024-07-13</t>
  </si>
  <si>
    <t xml:space="preserve">NV43769092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</si>
  <si>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쿠키앤크림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</si>
  <si>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2023-10-07</t>
  </si>
  <si>
    <t xml:space="preserve">NV68025952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</si>
  <si>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바닐라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</si>
  <si>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2024-06-14</t>
  </si>
  <si>
    <t xml:space="preserve">NV32366286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</si>
  <si>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더블초코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</si>
  <si>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2024-06-26</t>
  </si>
  <si>
    <t xml:space="preserve">NV92837045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</si>
  <si>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초코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</si>
  <si>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2024-07-26</t>
  </si>
  <si>
    <t xml:space="preserve">NV18039795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</si>
  <si>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피넛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</si>
  <si>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2024-05-12</t>
  </si>
  <si>
    <t xml:space="preserve">NV33340285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</si>
  <si>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쿠키앤크림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</si>
  <si>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NV59742932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</si>
  <si>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카라멜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</si>
  <si>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2023-03-23</t>
  </si>
  <si>
    <t xml:space="preserve">NV83194036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</si>
  <si>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초코 낱개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</si>
  <si>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2024-02-26</t>
  </si>
  <si>
    <t xml:space="preserve">NV10128548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</si>
  <si>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피넛 낱개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</si>
  <si>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2024-05-23</t>
  </si>
  <si>
    <t xml:space="preserve">NV49456805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</si>
  <si>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혼합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</si>
  <si>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NV71382639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</si>
  <si>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혼합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</si>
  <si>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2023-05-05</t>
  </si>
  <si>
    <t xml:space="preserve">NV97888009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</si>
  <si>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미니바 초코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</si>
  <si>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2023-10-12</t>
  </si>
  <si>
    <t xml:space="preserve">NV79657780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</si>
  <si>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그린 파우더 </t>
    </r>
    <r>
      <rPr>
        <sz val="10"/>
        <rFont val="맑은 고딕"/>
        <family val="0"/>
        <charset val="1"/>
      </rPr>
      <t xml:space="preserve">300g / </t>
    </r>
    <r>
      <rPr>
        <sz val="10"/>
        <rFont val="DejaVu Sans"/>
        <family val="2"/>
      </rPr>
      <t xml:space="preserve">무료배송</t>
    </r>
  </si>
  <si>
    <t xml:space="preserve">2024-05-05</t>
  </si>
  <si>
    <t xml:space="preserve">NV38006005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</si>
  <si>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베리 파우더 </t>
    </r>
    <r>
      <rPr>
        <sz val="10"/>
        <rFont val="맑은 고딕"/>
        <family val="0"/>
        <charset val="1"/>
      </rPr>
      <t xml:space="preserve">300g / </t>
    </r>
    <r>
      <rPr>
        <sz val="10"/>
        <rFont val="DejaVu Sans"/>
        <family val="2"/>
      </rPr>
      <t xml:space="preserve">무료배송</t>
    </r>
  </si>
  <si>
    <t xml:space="preserve">2023-04-06</t>
  </si>
  <si>
    <t xml:space="preserve">NV24642591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</si>
  <si>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프로틴 파우더 </t>
    </r>
    <r>
      <rPr>
        <sz val="10"/>
        <rFont val="맑은 고딕"/>
        <family val="0"/>
        <charset val="1"/>
      </rPr>
      <t xml:space="preserve">300g / </t>
    </r>
    <r>
      <rPr>
        <sz val="10"/>
        <rFont val="DejaVu Sans"/>
        <family val="2"/>
      </rPr>
      <t xml:space="preserve">무료배송</t>
    </r>
  </si>
  <si>
    <t xml:space="preserve">2024-06-10</t>
  </si>
  <si>
    <t xml:space="preserve">NV77310568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</si>
  <si>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망고 파우더 </t>
    </r>
    <r>
      <rPr>
        <sz val="10"/>
        <rFont val="맑은 고딕"/>
        <family val="0"/>
        <charset val="1"/>
      </rPr>
      <t xml:space="preserve">300g / </t>
    </r>
    <r>
      <rPr>
        <sz val="10"/>
        <rFont val="DejaVu Sans"/>
        <family val="2"/>
      </rPr>
      <t xml:space="preserve">무료배송</t>
    </r>
  </si>
  <si>
    <t xml:space="preserve">2023-11-22</t>
  </si>
  <si>
    <t xml:space="preserve">NV42854850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</si>
  <si>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바나나 파우더 </t>
    </r>
    <r>
      <rPr>
        <sz val="10"/>
        <rFont val="맑은 고딕"/>
        <family val="0"/>
        <charset val="1"/>
      </rPr>
      <t xml:space="preserve">300g / </t>
    </r>
    <r>
      <rPr>
        <sz val="10"/>
        <rFont val="DejaVu Sans"/>
        <family val="2"/>
      </rPr>
      <t xml:space="preserve">무료배송</t>
    </r>
  </si>
  <si>
    <t xml:space="preserve">2024-09-16</t>
  </si>
  <si>
    <t xml:space="preserve">NV31179554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</si>
  <si>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아사이 파우더 </t>
    </r>
    <r>
      <rPr>
        <sz val="10"/>
        <rFont val="맑은 고딕"/>
        <family val="0"/>
        <charset val="1"/>
      </rPr>
      <t xml:space="preserve">300g / </t>
    </r>
    <r>
      <rPr>
        <sz val="10"/>
        <rFont val="DejaVu Sans"/>
        <family val="2"/>
      </rPr>
      <t xml:space="preserve">무료배송</t>
    </r>
  </si>
  <si>
    <t xml:space="preserve">2023-01-04</t>
  </si>
  <si>
    <t xml:space="preserve">NV75509252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</si>
  <si>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그린 파우더 </t>
    </r>
    <r>
      <rPr>
        <sz val="10"/>
        <rFont val="맑은 고딕"/>
        <family val="0"/>
        <charset val="1"/>
      </rPr>
      <t xml:space="preserve">600g / </t>
    </r>
    <r>
      <rPr>
        <sz val="10"/>
        <rFont val="DejaVu Sans"/>
        <family val="2"/>
      </rPr>
      <t xml:space="preserve">무료배송</t>
    </r>
  </si>
  <si>
    <t xml:space="preserve">2023-01-27</t>
  </si>
  <si>
    <t xml:space="preserve">NV68765705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</si>
  <si>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프로틴 파우더 </t>
    </r>
    <r>
      <rPr>
        <sz val="10"/>
        <rFont val="맑은 고딕"/>
        <family val="0"/>
        <charset val="1"/>
      </rPr>
      <t xml:space="preserve">600g / </t>
    </r>
    <r>
      <rPr>
        <sz val="10"/>
        <rFont val="DejaVu Sans"/>
        <family val="2"/>
      </rPr>
      <t xml:space="preserve">무료배송</t>
    </r>
  </si>
  <si>
    <t xml:space="preserve">NV53757860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</si>
  <si>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그린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</si>
  <si>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2024-07-25</t>
  </si>
  <si>
    <t xml:space="preserve">NV62608081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</si>
  <si>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베리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</si>
  <si>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2024-12-23</t>
  </si>
  <si>
    <t xml:space="preserve">NV58151831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</si>
  <si>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프로틴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</si>
  <si>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2023-06-01</t>
  </si>
  <si>
    <t xml:space="preserve">NV90620777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</si>
  <si>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그린 스틱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</si>
  <si>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2024-06-06</t>
  </si>
  <si>
    <t xml:space="preserve">NV80662296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</si>
  <si>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무화과잼 </t>
    </r>
    <r>
      <rPr>
        <sz val="10"/>
        <rFont val="맑은 고딕"/>
        <family val="0"/>
        <charset val="1"/>
      </rPr>
      <t xml:space="preserve">250g / </t>
    </r>
    <r>
      <rPr>
        <sz val="10"/>
        <rFont val="DejaVu Sans"/>
        <family val="2"/>
      </rPr>
      <t xml:space="preserve">무료배송</t>
    </r>
  </si>
  <si>
    <t xml:space="preserve">2024-07-10</t>
  </si>
  <si>
    <t xml:space="preserve">NV72066323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</si>
  <si>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딸기잼 </t>
    </r>
    <r>
      <rPr>
        <sz val="10"/>
        <rFont val="맑은 고딕"/>
        <family val="0"/>
        <charset val="1"/>
      </rPr>
      <t xml:space="preserve">250g / </t>
    </r>
    <r>
      <rPr>
        <sz val="10"/>
        <rFont val="DejaVu Sans"/>
        <family val="2"/>
      </rPr>
      <t xml:space="preserve">무료배송</t>
    </r>
  </si>
  <si>
    <t xml:space="preserve">2023-07-06</t>
  </si>
  <si>
    <t xml:space="preserve">NV51808073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</si>
  <si>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살구잼 </t>
    </r>
    <r>
      <rPr>
        <sz val="10"/>
        <rFont val="맑은 고딕"/>
        <family val="0"/>
        <charset val="1"/>
      </rPr>
      <t xml:space="preserve">250g / </t>
    </r>
    <r>
      <rPr>
        <sz val="10"/>
        <rFont val="DejaVu Sans"/>
        <family val="2"/>
      </rPr>
      <t xml:space="preserve">무료배송</t>
    </r>
  </si>
  <si>
    <t xml:space="preserve">2024-02-21</t>
  </si>
  <si>
    <t xml:space="preserve">NV70071195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</si>
  <si>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아몬드버터 </t>
    </r>
    <r>
      <rPr>
        <sz val="10"/>
        <rFont val="맑은 고딕"/>
        <family val="0"/>
        <charset val="1"/>
      </rPr>
      <t xml:space="preserve">200g / </t>
    </r>
    <r>
      <rPr>
        <sz val="10"/>
        <rFont val="DejaVu Sans"/>
        <family val="2"/>
      </rPr>
      <t xml:space="preserve">무료배송</t>
    </r>
  </si>
  <si>
    <t xml:space="preserve">2023-01-19</t>
  </si>
  <si>
    <t xml:space="preserve">NV28998946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</si>
  <si>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캐슈넛버터 </t>
    </r>
    <r>
      <rPr>
        <sz val="10"/>
        <rFont val="맑은 고딕"/>
        <family val="0"/>
        <charset val="1"/>
      </rPr>
      <t xml:space="preserve">200g / </t>
    </r>
    <r>
      <rPr>
        <sz val="10"/>
        <rFont val="DejaVu Sans"/>
        <family val="2"/>
      </rPr>
      <t xml:space="preserve">무료배송</t>
    </r>
  </si>
  <si>
    <t xml:space="preserve">2023-02-25</t>
  </si>
  <si>
    <t xml:space="preserve">NV52296072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</si>
  <si>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피넛버터 </t>
    </r>
    <r>
      <rPr>
        <sz val="10"/>
        <rFont val="맑은 고딕"/>
        <family val="0"/>
        <charset val="1"/>
      </rPr>
      <t xml:space="preserve">200g / </t>
    </r>
    <r>
      <rPr>
        <sz val="10"/>
        <rFont val="DejaVu Sans"/>
        <family val="2"/>
      </rPr>
      <t xml:space="preserve">무료배송</t>
    </r>
  </si>
  <si>
    <t xml:space="preserve">2023-12-09</t>
  </si>
  <si>
    <t xml:space="preserve">NV14292396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</si>
  <si>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헤이즐넛버터 </t>
    </r>
    <r>
      <rPr>
        <sz val="10"/>
        <rFont val="맑은 고딕"/>
        <family val="0"/>
        <charset val="1"/>
      </rPr>
      <t xml:space="preserve">200g / </t>
    </r>
    <r>
      <rPr>
        <sz val="10"/>
        <rFont val="DejaVu Sans"/>
        <family val="2"/>
      </rPr>
      <t xml:space="preserve">무료배송</t>
    </r>
  </si>
  <si>
    <t xml:space="preserve">NV31933371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</si>
  <si>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무화과잼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</si>
  <si>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2023-08-25</t>
  </si>
  <si>
    <t xml:space="preserve">NV49547524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</si>
  <si>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블루베리잼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</si>
  <si>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NV49268384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</si>
  <si>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딸기잼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</si>
  <si>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NV22861038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</si>
  <si>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아몬드버터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</si>
  <si>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2024-12-16</t>
  </si>
  <si>
    <t xml:space="preserve">NV49553270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</si>
  <si>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콜드브루 블랙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</si>
  <si>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2023-08-26</t>
  </si>
  <si>
    <t xml:space="preserve">NV14664568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</si>
  <si>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콤부차 베리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</si>
  <si>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2023-02-21</t>
  </si>
  <si>
    <t xml:space="preserve">NV31817396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</si>
  <si>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콜드브루 라떼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</si>
  <si>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2023-07-04</t>
  </si>
  <si>
    <t xml:space="preserve">NV37133253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</si>
  <si>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콤부차 레몬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</si>
  <si>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NV13812138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</si>
  <si>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오트밀크 </t>
    </r>
    <r>
      <rPr>
        <sz val="10"/>
        <rFont val="맑은 고딕"/>
        <family val="0"/>
        <charset val="1"/>
      </rPr>
      <t xml:space="preserve">190ml x 6 / </t>
    </r>
    <r>
      <rPr>
        <sz val="10"/>
        <rFont val="DejaVu Sans"/>
        <family val="2"/>
      </rPr>
      <t xml:space="preserve">무료배송</t>
    </r>
  </si>
  <si>
    <t xml:space="preserve">2024-06-05</t>
  </si>
  <si>
    <t xml:space="preserve">NV69323150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</si>
  <si>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오트밀크 </t>
    </r>
    <r>
      <rPr>
        <sz val="10"/>
        <rFont val="맑은 고딕"/>
        <family val="0"/>
        <charset val="1"/>
      </rPr>
      <t xml:space="preserve">190ml x 12 / </t>
    </r>
    <r>
      <rPr>
        <sz val="10"/>
        <rFont val="DejaVu Sans"/>
        <family val="2"/>
      </rPr>
      <t xml:space="preserve">무료배송</t>
    </r>
  </si>
  <si>
    <t xml:space="preserve">2023-09-27</t>
  </si>
  <si>
    <t xml:space="preserve">NV35348105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</si>
  <si>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프로틴워터 </t>
    </r>
    <r>
      <rPr>
        <sz val="10"/>
        <rFont val="맑은 고딕"/>
        <family val="0"/>
        <charset val="1"/>
      </rPr>
      <t xml:space="preserve">500ml x 6 / </t>
    </r>
    <r>
      <rPr>
        <sz val="10"/>
        <rFont val="DejaVu Sans"/>
        <family val="2"/>
      </rPr>
      <t xml:space="preserve">무료배송</t>
    </r>
  </si>
  <si>
    <t xml:space="preserve">2023-05-10</t>
  </si>
  <si>
    <t xml:space="preserve">NV88677479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</si>
  <si>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프로틴워터 </t>
    </r>
    <r>
      <rPr>
        <sz val="10"/>
        <rFont val="맑은 고딕"/>
        <family val="0"/>
        <charset val="1"/>
      </rPr>
      <t xml:space="preserve">500ml x 12 / </t>
    </r>
    <r>
      <rPr>
        <sz val="10"/>
        <rFont val="DejaVu Sans"/>
        <family val="2"/>
      </rPr>
      <t xml:space="preserve">무료배송</t>
    </r>
  </si>
  <si>
    <t xml:space="preserve">NV67293229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</si>
  <si>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믹스넛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</si>
  <si>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2023-11-24</t>
  </si>
  <si>
    <t xml:space="preserve">NV88598163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</si>
  <si>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아몬드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</si>
  <si>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2024-06-27</t>
  </si>
  <si>
    <t xml:space="preserve">NV62607193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</si>
  <si>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캐슈넛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</si>
  <si>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2023-05-20</t>
  </si>
  <si>
    <t xml:space="preserve">NV41555117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</si>
  <si>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호두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</si>
  <si>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2024-10-27</t>
  </si>
  <si>
    <t xml:space="preserve">NV73188089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</si>
  <si>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피칸 </t>
    </r>
    <r>
      <rPr>
        <sz val="10"/>
        <rFont val="맑은 고딕"/>
        <family val="0"/>
        <charset val="1"/>
      </rPr>
      <t xml:space="preserve">300g / </t>
    </r>
    <r>
      <rPr>
        <sz val="10"/>
        <rFont val="DejaVu Sans"/>
        <family val="2"/>
      </rPr>
      <t xml:space="preserve">무료배송</t>
    </r>
  </si>
  <si>
    <t xml:space="preserve">2023-09-13</t>
  </si>
  <si>
    <t xml:space="preserve">NV53354558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</si>
  <si>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마카다미아 </t>
    </r>
    <r>
      <rPr>
        <sz val="10"/>
        <rFont val="맑은 고딕"/>
        <family val="0"/>
        <charset val="1"/>
      </rPr>
      <t xml:space="preserve">300g / </t>
    </r>
    <r>
      <rPr>
        <sz val="10"/>
        <rFont val="DejaVu Sans"/>
        <family val="2"/>
      </rPr>
      <t xml:space="preserve">무료배송</t>
    </r>
  </si>
  <si>
    <t xml:space="preserve">2024-12-08</t>
  </si>
  <si>
    <t xml:space="preserve">NV16393604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</si>
  <si>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믹스넛 </t>
    </r>
    <r>
      <rPr>
        <sz val="10"/>
        <rFont val="맑은 고딕"/>
        <family val="0"/>
        <charset val="1"/>
      </rPr>
      <t xml:space="preserve">1kg / </t>
    </r>
    <r>
      <rPr>
        <sz val="10"/>
        <rFont val="DejaVu Sans"/>
        <family val="2"/>
      </rPr>
      <t xml:space="preserve">무료배송</t>
    </r>
  </si>
  <si>
    <t xml:space="preserve">NV36734127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</si>
  <si>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캐슈넛 </t>
    </r>
    <r>
      <rPr>
        <sz val="10"/>
        <rFont val="맑은 고딕"/>
        <family val="0"/>
        <charset val="1"/>
      </rPr>
      <t xml:space="preserve">1kg / </t>
    </r>
    <r>
      <rPr>
        <sz val="10"/>
        <rFont val="DejaVu Sans"/>
        <family val="2"/>
      </rPr>
      <t xml:space="preserve">무료배송</t>
    </r>
  </si>
  <si>
    <t xml:space="preserve">2023-12-11</t>
  </si>
  <si>
    <t xml:space="preserve">NV16290484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</si>
  <si>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호두 </t>
    </r>
    <r>
      <rPr>
        <sz val="10"/>
        <rFont val="맑은 고딕"/>
        <family val="0"/>
        <charset val="1"/>
      </rPr>
      <t xml:space="preserve">1kg / </t>
    </r>
    <r>
      <rPr>
        <sz val="10"/>
        <rFont val="DejaVu Sans"/>
        <family val="2"/>
      </rPr>
      <t xml:space="preserve">무료배송</t>
    </r>
  </si>
  <si>
    <t xml:space="preserve">NV73537141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</si>
  <si>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하루견과 </t>
    </r>
    <r>
      <rPr>
        <sz val="10"/>
        <rFont val="맑은 고딕"/>
        <family val="0"/>
        <charset val="1"/>
      </rPr>
      <t xml:space="preserve">25g x 30</t>
    </r>
    <r>
      <rPr>
        <sz val="10"/>
        <rFont val="DejaVu Sans"/>
        <family val="2"/>
      </rPr>
      <t xml:space="preserve">봉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</si>
  <si>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NV84814639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</si>
  <si>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하루견과 </t>
    </r>
    <r>
      <rPr>
        <sz val="10"/>
        <rFont val="맑은 고딕"/>
        <family val="0"/>
        <charset val="1"/>
      </rPr>
      <t xml:space="preserve">25g x 50</t>
    </r>
    <r>
      <rPr>
        <sz val="10"/>
        <rFont val="DejaVu Sans"/>
        <family val="2"/>
      </rPr>
      <t xml:space="preserve">봉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</si>
  <si>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2024-07-21</t>
  </si>
  <si>
    <t xml:space="preserve">NV39952294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</si>
  <si>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허니버터 아몬드 </t>
    </r>
    <r>
      <rPr>
        <sz val="10"/>
        <rFont val="맑은 고딕"/>
        <family val="0"/>
        <charset val="1"/>
      </rPr>
      <t xml:space="preserve">200g / </t>
    </r>
    <r>
      <rPr>
        <sz val="10"/>
        <rFont val="DejaVu Sans"/>
        <family val="2"/>
      </rPr>
      <t xml:space="preserve">무료배송</t>
    </r>
  </si>
  <si>
    <t xml:space="preserve">2023-10-25</t>
  </si>
  <si>
    <t xml:space="preserve">NV49316414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</si>
  <si>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와사비 아몬드 </t>
    </r>
    <r>
      <rPr>
        <sz val="10"/>
        <rFont val="맑은 고딕"/>
        <family val="0"/>
        <charset val="1"/>
      </rPr>
      <t xml:space="preserve">200g / </t>
    </r>
    <r>
      <rPr>
        <sz val="10"/>
        <rFont val="DejaVu Sans"/>
        <family val="2"/>
      </rPr>
      <t xml:space="preserve">무료배송</t>
    </r>
  </si>
  <si>
    <t xml:space="preserve">2024-09-22</t>
  </si>
  <si>
    <t xml:space="preserve">NV80469287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</si>
  <si>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현미플레이크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</si>
  <si>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2023-03-04</t>
  </si>
  <si>
    <t xml:space="preserve">NV35879966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</si>
  <si>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콘플레이크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</si>
  <si>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2024-03-12</t>
  </si>
  <si>
    <t xml:space="preserve">NV51705252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</si>
  <si>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초코볼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</si>
  <si>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NV26317599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</si>
  <si>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오트밀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</si>
  <si>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2024-05-13</t>
  </si>
  <si>
    <t xml:space="preserve">NV59619878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</si>
  <si>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뮤즐리 </t>
    </r>
    <r>
      <rPr>
        <sz val="10"/>
        <rFont val="맑은 고딕"/>
        <family val="0"/>
        <charset val="1"/>
      </rPr>
      <t xml:space="preserve">500g / </t>
    </r>
    <r>
      <rPr>
        <sz val="10"/>
        <rFont val="DejaVu Sans"/>
        <family val="2"/>
      </rPr>
      <t xml:space="preserve">무료배송</t>
    </r>
  </si>
  <si>
    <t xml:space="preserve">2024-10-15</t>
  </si>
  <si>
    <t xml:space="preserve">NV76506448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</si>
  <si>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현미플레이크 </t>
    </r>
    <r>
      <rPr>
        <sz val="10"/>
        <rFont val="맑은 고딕"/>
        <family val="0"/>
        <charset val="1"/>
      </rPr>
      <t xml:space="preserve">1kg / </t>
    </r>
    <r>
      <rPr>
        <sz val="10"/>
        <rFont val="DejaVu Sans"/>
        <family val="2"/>
      </rPr>
      <t xml:space="preserve">무료배송</t>
    </r>
  </si>
  <si>
    <t xml:space="preserve">NV30333161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</si>
  <si>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콘플레이크 </t>
    </r>
    <r>
      <rPr>
        <sz val="10"/>
        <rFont val="맑은 고딕"/>
        <family val="0"/>
        <charset val="1"/>
      </rPr>
      <t xml:space="preserve">1kg / </t>
    </r>
    <r>
      <rPr>
        <sz val="10"/>
        <rFont val="DejaVu Sans"/>
        <family val="2"/>
      </rPr>
      <t xml:space="preserve">무료배송</t>
    </r>
  </si>
  <si>
    <t xml:space="preserve">2024-09-09</t>
  </si>
  <si>
    <t xml:space="preserve">NV10964649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</si>
  <si>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초코볼 </t>
    </r>
    <r>
      <rPr>
        <sz val="10"/>
        <rFont val="맑은 고딕"/>
        <family val="0"/>
        <charset val="1"/>
      </rPr>
      <t xml:space="preserve">1kg / </t>
    </r>
    <r>
      <rPr>
        <sz val="10"/>
        <rFont val="DejaVu Sans"/>
        <family val="2"/>
      </rPr>
      <t xml:space="preserve">무료배송</t>
    </r>
  </si>
  <si>
    <t xml:space="preserve">2023-12-07</t>
  </si>
  <si>
    <t xml:space="preserve">NV22038806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</si>
  <si>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뮤즐리 </t>
    </r>
    <r>
      <rPr>
        <sz val="10"/>
        <rFont val="맑은 고딕"/>
        <family val="0"/>
        <charset val="1"/>
      </rPr>
      <t xml:space="preserve">1kg / </t>
    </r>
    <r>
      <rPr>
        <sz val="10"/>
        <rFont val="DejaVu Sans"/>
        <family val="2"/>
      </rPr>
      <t xml:space="preserve">무료배송</t>
    </r>
  </si>
  <si>
    <t xml:space="preserve">2023-01-13</t>
  </si>
  <si>
    <t xml:space="preserve">NV87804179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</si>
  <si>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오트밀 스틱 </t>
    </r>
    <r>
      <rPr>
        <sz val="10"/>
        <rFont val="맑은 고딕"/>
        <family val="0"/>
        <charset val="1"/>
      </rPr>
      <t xml:space="preserve">30g x 10 / </t>
    </r>
    <r>
      <rPr>
        <sz val="10"/>
        <rFont val="DejaVu Sans"/>
        <family val="2"/>
      </rPr>
      <t xml:space="preserve">무료배송</t>
    </r>
  </si>
  <si>
    <t xml:space="preserve">2023-06-02</t>
  </si>
  <si>
    <t xml:space="preserve">NV22008067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</si>
  <si>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오트밀 스틱 </t>
    </r>
    <r>
      <rPr>
        <sz val="10"/>
        <rFont val="맑은 고딕"/>
        <family val="0"/>
        <charset val="1"/>
      </rPr>
      <t xml:space="preserve">30g x 30 / </t>
    </r>
    <r>
      <rPr>
        <sz val="10"/>
        <rFont val="DejaVu Sans"/>
        <family val="2"/>
      </rPr>
      <t xml:space="preserve">무료배송</t>
    </r>
  </si>
  <si>
    <t xml:space="preserve">2024-11-14</t>
  </si>
  <si>
    <t xml:space="preserve">NV84439229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</si>
  <si>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그래놀라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프로틴바 </t>
    </r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</si>
  <si>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NV42936593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</si>
  <si>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프리미엄 </t>
    </r>
    <r>
      <rPr>
        <sz val="10"/>
        <rFont val="맑은 고딕"/>
        <family val="0"/>
        <charset val="1"/>
      </rPr>
      <t xml:space="preserve">B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</si>
  <si>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2024-10-18</t>
  </si>
  <si>
    <t xml:space="preserve">NV54520334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</si>
  <si>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스무디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잼 </t>
    </r>
    <r>
      <rPr>
        <sz val="10"/>
        <rFont val="맑은 고딕"/>
        <family val="0"/>
        <charset val="1"/>
      </rPr>
      <t xml:space="preserve">C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</si>
  <si>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2023-06-11</t>
  </si>
  <si>
    <t xml:space="preserve">NV44105083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</si>
  <si>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견과류 </t>
    </r>
    <r>
      <rPr>
        <sz val="10"/>
        <rFont val="맑은 고딕"/>
        <family val="0"/>
        <charset val="1"/>
      </rPr>
      <t xml:space="preserve">D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</si>
  <si>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2023-10-21</t>
  </si>
  <si>
    <t xml:space="preserve">NV92965487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</si>
  <si>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음료 모음 </t>
    </r>
    <r>
      <rPr>
        <sz val="10"/>
        <rFont val="맑은 고딕"/>
        <family val="0"/>
        <charset val="1"/>
      </rPr>
      <t xml:space="preserve">E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</si>
  <si>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2023-12-04</t>
  </si>
  <si>
    <t xml:space="preserve">NV13100066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</si>
  <si>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올인원 </t>
    </r>
    <r>
      <rPr>
        <sz val="10"/>
        <rFont val="맑은 고딕"/>
        <family val="0"/>
        <charset val="1"/>
      </rPr>
      <t xml:space="preserve">F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</si>
  <si>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2023-12-15</t>
  </si>
  <si>
    <t xml:space="preserve">NV63275165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</si>
  <si>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오피스 간식 </t>
    </r>
    <r>
      <rPr>
        <sz val="10"/>
        <rFont val="맑은 고딕"/>
        <family val="0"/>
        <charset val="1"/>
      </rPr>
      <t xml:space="preserve">I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</si>
  <si>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2023-08-24</t>
  </si>
  <si>
    <t xml:space="preserve">NV22802883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</si>
  <si>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키즈 </t>
    </r>
    <r>
      <rPr>
        <sz val="10"/>
        <rFont val="맑은 고딕"/>
        <family val="0"/>
        <charset val="1"/>
      </rPr>
      <t xml:space="preserve">J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</si>
  <si>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2024-01-01</t>
  </si>
  <si>
    <t xml:space="preserve">NV63790672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</si>
  <si>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다이어트 </t>
    </r>
    <r>
      <rPr>
        <sz val="10"/>
        <rFont val="맑은 고딕"/>
        <family val="0"/>
        <charset val="1"/>
      </rPr>
      <t xml:space="preserve">K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</si>
  <si>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t xml:space="preserve">2023-07-10</t>
  </si>
  <si>
    <t xml:space="preserve">NV47772916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</si>
  <si>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건강한하루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커플 </t>
    </r>
    <r>
      <rPr>
        <sz val="10"/>
        <rFont val="맑은 고딕"/>
        <family val="0"/>
        <charset val="1"/>
      </rPr>
      <t xml:space="preserve">L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무료배송</t>
    </r>
  </si>
  <si>
    <r>
      <rPr>
        <b val="true"/>
        <sz val="10"/>
        <color rgb="FFFFFFFF"/>
        <rFont val="DejaVu Sans"/>
        <family val="2"/>
      </rPr>
      <t xml:space="preserve">노출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</si>
  <si>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로켓배송</t>
  </si>
  <si>
    <t xml:space="preserve">CP568045560</t>
  </si>
  <si>
    <r>
      <rPr>
        <sz val="10"/>
        <rFont val="DejaVu Sans"/>
        <family val="2"/>
      </rPr>
      <t xml:space="preserve">건강한하루 다크초코 </t>
    </r>
    <r>
      <rPr>
        <sz val="10"/>
        <rFont val="맑은 고딕"/>
        <family val="0"/>
        <charset val="1"/>
      </rPr>
      <t xml:space="preserve">400g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</si>
  <si>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N</t>
  </si>
  <si>
    <t xml:space="preserve">CP332891135</t>
  </si>
  <si>
    <r>
      <rPr>
        <sz val="10"/>
        <rFont val="DejaVu Sans"/>
        <family val="2"/>
      </rPr>
      <t xml:space="preserve">건강한하루 코코넛 </t>
    </r>
    <r>
      <rPr>
        <sz val="10"/>
        <rFont val="맑은 고딕"/>
        <family val="0"/>
        <charset val="1"/>
      </rPr>
      <t xml:space="preserve">400g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</si>
  <si>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Y</t>
  </si>
  <si>
    <t xml:space="preserve">CP564296971</t>
  </si>
  <si>
    <r>
      <rPr>
        <sz val="10"/>
        <rFont val="DejaVu Sans"/>
        <family val="2"/>
      </rPr>
      <t xml:space="preserve">건강한하루 말차 </t>
    </r>
    <r>
      <rPr>
        <sz val="10"/>
        <rFont val="맑은 고딕"/>
        <family val="0"/>
        <charset val="1"/>
      </rPr>
      <t xml:space="preserve">400g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</si>
  <si>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CP759588732</t>
  </si>
  <si>
    <r>
      <rPr>
        <sz val="10"/>
        <rFont val="DejaVu Sans"/>
        <family val="2"/>
      </rPr>
      <t xml:space="preserve">건강한하루 꿀귀리 </t>
    </r>
    <r>
      <rPr>
        <sz val="10"/>
        <rFont val="맑은 고딕"/>
        <family val="0"/>
        <charset val="1"/>
      </rPr>
      <t xml:space="preserve">400g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</si>
  <si>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CP997173125</t>
  </si>
  <si>
    <r>
      <rPr>
        <sz val="10"/>
        <rFont val="DejaVu Sans"/>
        <family val="2"/>
      </rPr>
      <t xml:space="preserve">건강한하루 트로피컬 </t>
    </r>
    <r>
      <rPr>
        <sz val="10"/>
        <rFont val="맑은 고딕"/>
        <family val="0"/>
        <charset val="1"/>
      </rPr>
      <t xml:space="preserve">400g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</si>
  <si>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CP122744671</t>
  </si>
  <si>
    <r>
      <rPr>
        <sz val="10"/>
        <rFont val="DejaVu Sans"/>
        <family val="2"/>
      </rPr>
      <t xml:space="preserve">건강한하루 팥앙금 </t>
    </r>
    <r>
      <rPr>
        <sz val="10"/>
        <rFont val="맑은 고딕"/>
        <family val="0"/>
        <charset val="1"/>
      </rPr>
      <t xml:space="preserve">400g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</si>
  <si>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CP565517825</t>
  </si>
  <si>
    <r>
      <rPr>
        <sz val="10"/>
        <rFont val="DejaVu Sans"/>
        <family val="2"/>
      </rPr>
      <t xml:space="preserve">건강한하루 흑임자 </t>
    </r>
    <r>
      <rPr>
        <sz val="10"/>
        <rFont val="맑은 고딕"/>
        <family val="0"/>
        <charset val="1"/>
      </rPr>
      <t xml:space="preserve">400g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</si>
  <si>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CP651938004</t>
  </si>
  <si>
    <r>
      <rPr>
        <sz val="10"/>
        <rFont val="DejaVu Sans"/>
        <family val="2"/>
      </rPr>
      <t xml:space="preserve">건강한하루 오리지널 </t>
    </r>
    <r>
      <rPr>
        <sz val="10"/>
        <rFont val="맑은 고딕"/>
        <family val="0"/>
        <charset val="1"/>
      </rPr>
      <t xml:space="preserve">1kg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</si>
  <si>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CP750401482</t>
  </si>
  <si>
    <r>
      <rPr>
        <sz val="10"/>
        <rFont val="DejaVu Sans"/>
        <family val="2"/>
      </rPr>
      <t xml:space="preserve">건강한하루 다크초코 </t>
    </r>
    <r>
      <rPr>
        <sz val="10"/>
        <rFont val="맑은 고딕"/>
        <family val="0"/>
        <charset val="1"/>
      </rPr>
      <t xml:space="preserve">1kg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</si>
  <si>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CP130597632</t>
  </si>
  <si>
    <r>
      <rPr>
        <sz val="10"/>
        <rFont val="DejaVu Sans"/>
        <family val="2"/>
      </rPr>
      <t xml:space="preserve">건강한하루 베리믹스 </t>
    </r>
    <r>
      <rPr>
        <sz val="10"/>
        <rFont val="맑은 고딕"/>
        <family val="0"/>
        <charset val="1"/>
      </rPr>
      <t xml:space="preserve">1kg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</si>
  <si>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CP894984461</t>
  </si>
  <si>
    <r>
      <rPr>
        <sz val="10"/>
        <rFont val="DejaVu Sans"/>
        <family val="2"/>
      </rPr>
      <t xml:space="preserve">건강한하루 미니팩 </t>
    </r>
    <r>
      <rPr>
        <sz val="10"/>
        <rFont val="맑은 고딕"/>
        <family val="0"/>
        <charset val="1"/>
      </rPr>
      <t xml:space="preserve">30g x 10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</si>
  <si>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CP699369939</t>
  </si>
  <si>
    <r>
      <rPr>
        <sz val="10"/>
        <rFont val="DejaVu Sans"/>
        <family val="2"/>
      </rPr>
      <t xml:space="preserve">건강한하루 미니팩 </t>
    </r>
    <r>
      <rPr>
        <sz val="10"/>
        <rFont val="맑은 고딕"/>
        <family val="0"/>
        <charset val="1"/>
      </rPr>
      <t xml:space="preserve">30g x 20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</si>
  <si>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CP178871900</t>
  </si>
  <si>
    <r>
      <rPr>
        <sz val="10"/>
        <rFont val="DejaVu Sans"/>
        <family val="2"/>
      </rPr>
      <t xml:space="preserve">건강한하루 다크초코 </t>
    </r>
    <r>
      <rPr>
        <sz val="10"/>
        <rFont val="맑은 고딕"/>
        <family val="0"/>
        <charset val="1"/>
      </rPr>
      <t xml:space="preserve">200g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</si>
  <si>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CP625195389</t>
  </si>
  <si>
    <r>
      <rPr>
        <sz val="10"/>
        <rFont val="DejaVu Sans"/>
        <family val="2"/>
      </rPr>
      <t xml:space="preserve">건강한하루 초코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</si>
  <si>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CP217639023</t>
  </si>
  <si>
    <r>
      <rPr>
        <sz val="10"/>
        <rFont val="DejaVu Sans"/>
        <family val="2"/>
      </rPr>
      <t xml:space="preserve">건강한하루 쿠키앤크림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</si>
  <si>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CP444657169</t>
  </si>
  <si>
    <r>
      <rPr>
        <sz val="10"/>
        <rFont val="DejaVu Sans"/>
        <family val="2"/>
      </rPr>
      <t xml:space="preserve">건강한하루 카라멜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</si>
  <si>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CP820034799</t>
  </si>
  <si>
    <r>
      <rPr>
        <sz val="10"/>
        <rFont val="DejaVu Sans"/>
        <family val="2"/>
      </rPr>
      <t xml:space="preserve">건강한하루 더블초코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</si>
  <si>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CP573784147</t>
  </si>
  <si>
    <r>
      <rPr>
        <sz val="10"/>
        <rFont val="DejaVu Sans"/>
        <family val="2"/>
      </rPr>
      <t xml:space="preserve">건강한하루 초코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</si>
  <si>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CP845711125</t>
  </si>
  <si>
    <r>
      <rPr>
        <sz val="10"/>
        <rFont val="DejaVu Sans"/>
        <family val="2"/>
      </rPr>
      <t xml:space="preserve">건강한하루 피넛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</si>
  <si>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CP608597533</t>
  </si>
  <si>
    <r>
      <rPr>
        <sz val="10"/>
        <rFont val="DejaVu Sans"/>
        <family val="2"/>
      </rPr>
      <t xml:space="preserve">건강한하루 쿠키앤크림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</si>
  <si>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CP732723115</t>
  </si>
  <si>
    <r>
      <rPr>
        <sz val="10"/>
        <rFont val="DejaVu Sans"/>
        <family val="2"/>
      </rPr>
      <t xml:space="preserve">건강한하루 카라멜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</si>
  <si>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CP881791827</t>
  </si>
  <si>
    <r>
      <rPr>
        <sz val="10"/>
        <rFont val="DejaVu Sans"/>
        <family val="2"/>
      </rPr>
      <t xml:space="preserve">건강한하루 피넛 낱개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</si>
  <si>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CP387391983</t>
  </si>
  <si>
    <r>
      <rPr>
        <sz val="10"/>
        <rFont val="DejaVu Sans"/>
        <family val="2"/>
      </rPr>
      <t xml:space="preserve">건강한하루 혼합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</si>
  <si>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CP668427624</t>
  </si>
  <si>
    <r>
      <rPr>
        <sz val="10"/>
        <rFont val="DejaVu Sans"/>
        <family val="2"/>
      </rPr>
      <t xml:space="preserve">건강한하루 혼합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</si>
  <si>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CP158985631</t>
  </si>
  <si>
    <r>
      <rPr>
        <sz val="10"/>
        <rFont val="DejaVu Sans"/>
        <family val="2"/>
      </rPr>
      <t xml:space="preserve">건강한하루 미니바 초코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</si>
  <si>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CP648733971</t>
  </si>
  <si>
    <r>
      <rPr>
        <sz val="10"/>
        <rFont val="DejaVu Sans"/>
        <family val="2"/>
      </rPr>
      <t xml:space="preserve">건강한하루 미니바 피넛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</si>
  <si>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CP571380055</t>
  </si>
  <si>
    <r>
      <rPr>
        <sz val="10"/>
        <rFont val="DejaVu Sans"/>
        <family val="2"/>
      </rPr>
      <t xml:space="preserve">건강한하루 그린 파우더 </t>
    </r>
    <r>
      <rPr>
        <sz val="10"/>
        <rFont val="맑은 고딕"/>
        <family val="0"/>
        <charset val="1"/>
      </rPr>
      <t xml:space="preserve">300g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</si>
  <si>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CP225731413</t>
  </si>
  <si>
    <r>
      <rPr>
        <sz val="10"/>
        <rFont val="DejaVu Sans"/>
        <family val="2"/>
      </rPr>
      <t xml:space="preserve">건강한하루 베리 파우더 </t>
    </r>
    <r>
      <rPr>
        <sz val="10"/>
        <rFont val="맑은 고딕"/>
        <family val="0"/>
        <charset val="1"/>
      </rPr>
      <t xml:space="preserve">300g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</si>
  <si>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CP935105781</t>
  </si>
  <si>
    <r>
      <rPr>
        <sz val="10"/>
        <rFont val="DejaVu Sans"/>
        <family val="2"/>
      </rPr>
      <t xml:space="preserve">건강한하루 프로틴 파우더 </t>
    </r>
    <r>
      <rPr>
        <sz val="10"/>
        <rFont val="맑은 고딕"/>
        <family val="0"/>
        <charset val="1"/>
      </rPr>
      <t xml:space="preserve">300g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</si>
  <si>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CP954673466</t>
  </si>
  <si>
    <r>
      <rPr>
        <sz val="10"/>
        <rFont val="DejaVu Sans"/>
        <family val="2"/>
      </rPr>
      <t xml:space="preserve">건강한하루 망고 파우더 </t>
    </r>
    <r>
      <rPr>
        <sz val="10"/>
        <rFont val="맑은 고딕"/>
        <family val="0"/>
        <charset val="1"/>
      </rPr>
      <t xml:space="preserve">300g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</si>
  <si>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CP865077488</t>
  </si>
  <si>
    <r>
      <rPr>
        <sz val="10"/>
        <rFont val="DejaVu Sans"/>
        <family val="2"/>
      </rPr>
      <t xml:space="preserve">건강한하루 바나나 파우더 </t>
    </r>
    <r>
      <rPr>
        <sz val="10"/>
        <rFont val="맑은 고딕"/>
        <family val="0"/>
        <charset val="1"/>
      </rPr>
      <t xml:space="preserve">300g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</si>
  <si>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CP106162316</t>
  </si>
  <si>
    <r>
      <rPr>
        <sz val="10"/>
        <rFont val="DejaVu Sans"/>
        <family val="2"/>
      </rPr>
      <t xml:space="preserve">건강한하루 아사이 파우더 </t>
    </r>
    <r>
      <rPr>
        <sz val="10"/>
        <rFont val="맑은 고딕"/>
        <family val="0"/>
        <charset val="1"/>
      </rPr>
      <t xml:space="preserve">300g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</si>
  <si>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CP957821673</t>
  </si>
  <si>
    <r>
      <rPr>
        <sz val="10"/>
        <rFont val="DejaVu Sans"/>
        <family val="2"/>
      </rPr>
      <t xml:space="preserve">건강한하루 그린 파우더 </t>
    </r>
    <r>
      <rPr>
        <sz val="10"/>
        <rFont val="맑은 고딕"/>
        <family val="0"/>
        <charset val="1"/>
      </rPr>
      <t xml:space="preserve">600g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</si>
  <si>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CP573926564</t>
  </si>
  <si>
    <r>
      <rPr>
        <sz val="10"/>
        <rFont val="DejaVu Sans"/>
        <family val="2"/>
      </rPr>
      <t xml:space="preserve">건강한하루 베리 파우더 </t>
    </r>
    <r>
      <rPr>
        <sz val="10"/>
        <rFont val="맑은 고딕"/>
        <family val="0"/>
        <charset val="1"/>
      </rPr>
      <t xml:space="preserve">600g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</si>
  <si>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CP849589481</t>
  </si>
  <si>
    <r>
      <rPr>
        <sz val="10"/>
        <rFont val="DejaVu Sans"/>
        <family val="2"/>
      </rPr>
      <t xml:space="preserve">건강한하루 프로틴 파우더 </t>
    </r>
    <r>
      <rPr>
        <sz val="10"/>
        <rFont val="맑은 고딕"/>
        <family val="0"/>
        <charset val="1"/>
      </rPr>
      <t xml:space="preserve">600g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</si>
  <si>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CP790466260</t>
  </si>
  <si>
    <r>
      <rPr>
        <sz val="10"/>
        <rFont val="DejaVu Sans"/>
        <family val="2"/>
      </rPr>
      <t xml:space="preserve">건강한하루 그린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</si>
  <si>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CP339111848</t>
  </si>
  <si>
    <r>
      <rPr>
        <sz val="10"/>
        <rFont val="DejaVu Sans"/>
        <family val="2"/>
      </rPr>
      <t xml:space="preserve">건강한하루 베리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</si>
  <si>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CP965506325</t>
  </si>
  <si>
    <r>
      <rPr>
        <sz val="10"/>
        <rFont val="DejaVu Sans"/>
        <family val="2"/>
      </rPr>
      <t xml:space="preserve">건강한하루 프로틴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</si>
  <si>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CP965772411</t>
  </si>
  <si>
    <r>
      <rPr>
        <sz val="10"/>
        <rFont val="DejaVu Sans"/>
        <family val="2"/>
      </rPr>
      <t xml:space="preserve">건강한하루 그린 스틱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개입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</si>
  <si>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CP387441320</t>
  </si>
  <si>
    <r>
      <rPr>
        <sz val="10"/>
        <rFont val="DejaVu Sans"/>
        <family val="2"/>
      </rPr>
      <t xml:space="preserve">건강한하루 무화과잼 </t>
    </r>
    <r>
      <rPr>
        <sz val="10"/>
        <rFont val="맑은 고딕"/>
        <family val="0"/>
        <charset val="1"/>
      </rPr>
      <t xml:space="preserve">250g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</si>
  <si>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CP495230541</t>
  </si>
  <si>
    <r>
      <rPr>
        <sz val="10"/>
        <rFont val="DejaVu Sans"/>
        <family val="2"/>
      </rPr>
      <t xml:space="preserve">건강한하루 블루베리잼 </t>
    </r>
    <r>
      <rPr>
        <sz val="10"/>
        <rFont val="맑은 고딕"/>
        <family val="0"/>
        <charset val="1"/>
      </rPr>
      <t xml:space="preserve">250g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</si>
  <si>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CP733126272</t>
  </si>
  <si>
    <r>
      <rPr>
        <sz val="10"/>
        <rFont val="DejaVu Sans"/>
        <family val="2"/>
      </rPr>
      <t xml:space="preserve">건강한하루 딸기잼 </t>
    </r>
    <r>
      <rPr>
        <sz val="10"/>
        <rFont val="맑은 고딕"/>
        <family val="0"/>
        <charset val="1"/>
      </rPr>
      <t xml:space="preserve">250g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</si>
  <si>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CP338591514</t>
  </si>
  <si>
    <r>
      <rPr>
        <sz val="10"/>
        <rFont val="DejaVu Sans"/>
        <family val="2"/>
      </rPr>
      <t xml:space="preserve">건강한하루 살구잼 </t>
    </r>
    <r>
      <rPr>
        <sz val="10"/>
        <rFont val="맑은 고딕"/>
        <family val="0"/>
        <charset val="1"/>
      </rPr>
      <t xml:space="preserve">250g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</si>
  <si>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CP864047968</t>
  </si>
  <si>
    <r>
      <rPr>
        <sz val="10"/>
        <rFont val="DejaVu Sans"/>
        <family val="2"/>
      </rPr>
      <t xml:space="preserve">건강한하루 아몬드버터 </t>
    </r>
    <r>
      <rPr>
        <sz val="10"/>
        <rFont val="맑은 고딕"/>
        <family val="0"/>
        <charset val="1"/>
      </rPr>
      <t xml:space="preserve">200g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</si>
  <si>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CP577539658</t>
  </si>
  <si>
    <r>
      <rPr>
        <sz val="10"/>
        <rFont val="DejaVu Sans"/>
        <family val="2"/>
      </rPr>
      <t xml:space="preserve">건강한하루 캐슈넛버터 </t>
    </r>
    <r>
      <rPr>
        <sz val="10"/>
        <rFont val="맑은 고딕"/>
        <family val="0"/>
        <charset val="1"/>
      </rPr>
      <t xml:space="preserve">200g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</si>
  <si>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CP742745740</t>
  </si>
  <si>
    <r>
      <rPr>
        <sz val="10"/>
        <rFont val="DejaVu Sans"/>
        <family val="2"/>
      </rPr>
      <t xml:space="preserve">건강한하루 피넛버터 </t>
    </r>
    <r>
      <rPr>
        <sz val="10"/>
        <rFont val="맑은 고딕"/>
        <family val="0"/>
        <charset val="1"/>
      </rPr>
      <t xml:space="preserve">200g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</si>
  <si>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CP539288601</t>
  </si>
  <si>
    <r>
      <rPr>
        <sz val="10"/>
        <rFont val="DejaVu Sans"/>
        <family val="2"/>
      </rPr>
      <t xml:space="preserve">건강한하루 헤이즐넛버터 </t>
    </r>
    <r>
      <rPr>
        <sz val="10"/>
        <rFont val="맑은 고딕"/>
        <family val="0"/>
        <charset val="1"/>
      </rPr>
      <t xml:space="preserve">200g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</si>
  <si>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CP140738100</t>
  </si>
  <si>
    <r>
      <rPr>
        <sz val="10"/>
        <rFont val="DejaVu Sans"/>
        <family val="2"/>
      </rPr>
      <t xml:space="preserve">건강한하루 무화과잼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</si>
  <si>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CP927048558</t>
  </si>
  <si>
    <r>
      <rPr>
        <sz val="10"/>
        <rFont val="DejaVu Sans"/>
        <family val="2"/>
      </rPr>
      <t xml:space="preserve">건강한하루 블루베리잼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</si>
  <si>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CP977236687</t>
  </si>
  <si>
    <r>
      <rPr>
        <sz val="10"/>
        <rFont val="DejaVu Sans"/>
        <family val="2"/>
      </rPr>
      <t xml:space="preserve">건강한하루 딸기잼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</si>
  <si>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CP122465821</t>
  </si>
  <si>
    <r>
      <rPr>
        <sz val="10"/>
        <rFont val="DejaVu Sans"/>
        <family val="2"/>
      </rPr>
      <t xml:space="preserve">건강한하루 아몬드버터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</si>
  <si>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CP505893631</t>
  </si>
  <si>
    <r>
      <rPr>
        <sz val="10"/>
        <rFont val="DejaVu Sans"/>
        <family val="2"/>
      </rPr>
      <t xml:space="preserve">건강한하루 콜드브루 블랙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</si>
  <si>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CP777936055</t>
  </si>
  <si>
    <r>
      <rPr>
        <sz val="10"/>
        <rFont val="DejaVu Sans"/>
        <family val="2"/>
      </rPr>
      <t xml:space="preserve">건강한하루 콜드브루 라떼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</si>
  <si>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CP306685730</t>
  </si>
  <si>
    <r>
      <rPr>
        <sz val="10"/>
        <rFont val="DejaVu Sans"/>
        <family val="2"/>
      </rPr>
      <t xml:space="preserve">건강한하루 콤부차 레몬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</si>
  <si>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CP248045563</t>
  </si>
  <si>
    <r>
      <rPr>
        <sz val="10"/>
        <rFont val="DejaVu Sans"/>
        <family val="2"/>
      </rPr>
      <t xml:space="preserve">건강한하루 콤부차 베리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</si>
  <si>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CP328133265</t>
  </si>
  <si>
    <r>
      <rPr>
        <sz val="10"/>
        <rFont val="DejaVu Sans"/>
        <family val="2"/>
      </rPr>
      <t xml:space="preserve">건강한하루 콜드브루 라떼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</si>
  <si>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CP312913387</t>
  </si>
  <si>
    <r>
      <rPr>
        <sz val="10"/>
        <rFont val="DejaVu Sans"/>
        <family val="2"/>
      </rPr>
      <t xml:space="preserve">건강한하루 콤부차 레몬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</si>
  <si>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CP844570754</t>
  </si>
  <si>
    <r>
      <rPr>
        <sz val="10"/>
        <rFont val="DejaVu Sans"/>
        <family val="2"/>
      </rPr>
      <t xml:space="preserve">건강한하루 콤부차 베리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</si>
  <si>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CP590468875</t>
  </si>
  <si>
    <r>
      <rPr>
        <sz val="10"/>
        <rFont val="DejaVu Sans"/>
        <family val="2"/>
      </rPr>
      <t xml:space="preserve">건강한하루 오트밀크 </t>
    </r>
    <r>
      <rPr>
        <sz val="10"/>
        <rFont val="맑은 고딕"/>
        <family val="0"/>
        <charset val="1"/>
      </rPr>
      <t xml:space="preserve">190ml x 6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</si>
  <si>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CP299332347</t>
  </si>
  <si>
    <r>
      <rPr>
        <sz val="10"/>
        <rFont val="DejaVu Sans"/>
        <family val="2"/>
      </rPr>
      <t xml:space="preserve">건강한하루 오트밀크 </t>
    </r>
    <r>
      <rPr>
        <sz val="10"/>
        <rFont val="맑은 고딕"/>
        <family val="0"/>
        <charset val="1"/>
      </rPr>
      <t xml:space="preserve">190ml x 12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</si>
  <si>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CP859423263</t>
  </si>
  <si>
    <r>
      <rPr>
        <sz val="10"/>
        <rFont val="DejaVu Sans"/>
        <family val="2"/>
      </rPr>
      <t xml:space="preserve">건강한하루 프로틴워터 </t>
    </r>
    <r>
      <rPr>
        <sz val="10"/>
        <rFont val="맑은 고딕"/>
        <family val="0"/>
        <charset val="1"/>
      </rPr>
      <t xml:space="preserve">500ml x 6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</si>
  <si>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CP284844385</t>
  </si>
  <si>
    <r>
      <rPr>
        <sz val="10"/>
        <rFont val="DejaVu Sans"/>
        <family val="2"/>
      </rPr>
      <t xml:space="preserve">건강한하루 프로틴워터 </t>
    </r>
    <r>
      <rPr>
        <sz val="10"/>
        <rFont val="맑은 고딕"/>
        <family val="0"/>
        <charset val="1"/>
      </rPr>
      <t xml:space="preserve">500ml x 12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</si>
  <si>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CP837747298</t>
  </si>
  <si>
    <r>
      <rPr>
        <sz val="10"/>
        <rFont val="DejaVu Sans"/>
        <family val="2"/>
      </rPr>
      <t xml:space="preserve">건강한하루 믹스넛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</si>
  <si>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CP680670683</t>
  </si>
  <si>
    <r>
      <rPr>
        <sz val="10"/>
        <rFont val="DejaVu Sans"/>
        <family val="2"/>
      </rPr>
      <t xml:space="preserve">건강한하루 아몬드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</si>
  <si>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CP779827842</t>
  </si>
  <si>
    <r>
      <rPr>
        <sz val="10"/>
        <rFont val="DejaVu Sans"/>
        <family val="2"/>
      </rPr>
      <t xml:space="preserve">건강한하루 캐슈넛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</si>
  <si>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CP360843402</t>
  </si>
  <si>
    <r>
      <rPr>
        <sz val="10"/>
        <rFont val="DejaVu Sans"/>
        <family val="2"/>
      </rPr>
      <t xml:space="preserve">건강한하루 호두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</si>
  <si>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CP581124245</t>
  </si>
  <si>
    <r>
      <rPr>
        <sz val="10"/>
        <rFont val="DejaVu Sans"/>
        <family val="2"/>
      </rPr>
      <t xml:space="preserve">건강한하루 믹스넛 </t>
    </r>
    <r>
      <rPr>
        <sz val="10"/>
        <rFont val="맑은 고딕"/>
        <family val="0"/>
        <charset val="1"/>
      </rPr>
      <t xml:space="preserve">1kg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</si>
  <si>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CP694518842</t>
  </si>
  <si>
    <r>
      <rPr>
        <sz val="10"/>
        <rFont val="DejaVu Sans"/>
        <family val="2"/>
      </rPr>
      <t xml:space="preserve">건강한하루 아몬드 </t>
    </r>
    <r>
      <rPr>
        <sz val="10"/>
        <rFont val="맑은 고딕"/>
        <family val="0"/>
        <charset val="1"/>
      </rPr>
      <t xml:space="preserve">1kg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</si>
  <si>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CP580407197</t>
  </si>
  <si>
    <r>
      <rPr>
        <sz val="10"/>
        <rFont val="DejaVu Sans"/>
        <family val="2"/>
      </rPr>
      <t xml:space="preserve">건강한하루 캐슈넛 </t>
    </r>
    <r>
      <rPr>
        <sz val="10"/>
        <rFont val="맑은 고딕"/>
        <family val="0"/>
        <charset val="1"/>
      </rPr>
      <t xml:space="preserve">1kg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</si>
  <si>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CP352135382</t>
  </si>
  <si>
    <r>
      <rPr>
        <sz val="10"/>
        <rFont val="DejaVu Sans"/>
        <family val="2"/>
      </rPr>
      <t xml:space="preserve">건강한하루 하루견과 </t>
    </r>
    <r>
      <rPr>
        <sz val="10"/>
        <rFont val="맑은 고딕"/>
        <family val="0"/>
        <charset val="1"/>
      </rPr>
      <t xml:space="preserve">25g x 30</t>
    </r>
    <r>
      <rPr>
        <sz val="10"/>
        <rFont val="DejaVu Sans"/>
        <family val="2"/>
      </rPr>
      <t xml:space="preserve">봉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</si>
  <si>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CP504600268</t>
  </si>
  <si>
    <r>
      <rPr>
        <sz val="10"/>
        <rFont val="DejaVu Sans"/>
        <family val="2"/>
      </rPr>
      <t xml:space="preserve">건강한하루 하루견과 </t>
    </r>
    <r>
      <rPr>
        <sz val="10"/>
        <rFont val="맑은 고딕"/>
        <family val="0"/>
        <charset val="1"/>
      </rPr>
      <t xml:space="preserve">25g x 50</t>
    </r>
    <r>
      <rPr>
        <sz val="10"/>
        <rFont val="DejaVu Sans"/>
        <family val="2"/>
      </rPr>
      <t xml:space="preserve">봉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</si>
  <si>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CP377039718</t>
  </si>
  <si>
    <r>
      <rPr>
        <sz val="10"/>
        <rFont val="DejaVu Sans"/>
        <family val="2"/>
      </rPr>
      <t xml:space="preserve">건강한하루 허니버터 아몬드 </t>
    </r>
    <r>
      <rPr>
        <sz val="10"/>
        <rFont val="맑은 고딕"/>
        <family val="0"/>
        <charset val="1"/>
      </rPr>
      <t xml:space="preserve">200g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</si>
  <si>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CP502649826</t>
  </si>
  <si>
    <r>
      <rPr>
        <sz val="10"/>
        <rFont val="DejaVu Sans"/>
        <family val="2"/>
      </rPr>
      <t xml:space="preserve">건강한하루 와사비 아몬드 </t>
    </r>
    <r>
      <rPr>
        <sz val="10"/>
        <rFont val="맑은 고딕"/>
        <family val="0"/>
        <charset val="1"/>
      </rPr>
      <t xml:space="preserve">200g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</si>
  <si>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CP275522525</t>
  </si>
  <si>
    <r>
      <rPr>
        <sz val="10"/>
        <rFont val="DejaVu Sans"/>
        <family val="2"/>
      </rPr>
      <t xml:space="preserve">건강한하루 현미플레이크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</si>
  <si>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CP374834525</t>
  </si>
  <si>
    <r>
      <rPr>
        <sz val="10"/>
        <rFont val="DejaVu Sans"/>
        <family val="2"/>
      </rPr>
      <t xml:space="preserve">건강한하루 콘플레이크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</si>
  <si>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CP779726002</t>
  </si>
  <si>
    <r>
      <rPr>
        <sz val="10"/>
        <rFont val="DejaVu Sans"/>
        <family val="2"/>
      </rPr>
      <t xml:space="preserve">건강한하루 초코볼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</si>
  <si>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CP603037307</t>
  </si>
  <si>
    <r>
      <rPr>
        <sz val="10"/>
        <rFont val="DejaVu Sans"/>
        <family val="2"/>
      </rPr>
      <t xml:space="preserve">건강한하루 오트밀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</si>
  <si>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CP449817377</t>
  </si>
  <si>
    <r>
      <rPr>
        <sz val="10"/>
        <rFont val="DejaVu Sans"/>
        <family val="2"/>
      </rPr>
      <t xml:space="preserve">건강한하루 뮤즐리 </t>
    </r>
    <r>
      <rPr>
        <sz val="10"/>
        <rFont val="맑은 고딕"/>
        <family val="0"/>
        <charset val="1"/>
      </rPr>
      <t xml:space="preserve">500g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</si>
  <si>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CP684987062</t>
  </si>
  <si>
    <r>
      <rPr>
        <sz val="10"/>
        <rFont val="DejaVu Sans"/>
        <family val="2"/>
      </rPr>
      <t xml:space="preserve">건강한하루 현미플레이크 </t>
    </r>
    <r>
      <rPr>
        <sz val="10"/>
        <rFont val="맑은 고딕"/>
        <family val="0"/>
        <charset val="1"/>
      </rPr>
      <t xml:space="preserve">1kg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</si>
  <si>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CP898177372</t>
  </si>
  <si>
    <r>
      <rPr>
        <sz val="10"/>
        <rFont val="DejaVu Sans"/>
        <family val="2"/>
      </rPr>
      <t xml:space="preserve">건강한하루 콘플레이크 </t>
    </r>
    <r>
      <rPr>
        <sz val="10"/>
        <rFont val="맑은 고딕"/>
        <family val="0"/>
        <charset val="1"/>
      </rPr>
      <t xml:space="preserve">1kg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</si>
  <si>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CP213139620</t>
  </si>
  <si>
    <r>
      <rPr>
        <sz val="10"/>
        <rFont val="DejaVu Sans"/>
        <family val="2"/>
      </rPr>
      <t xml:space="preserve">건강한하루 초코볼 </t>
    </r>
    <r>
      <rPr>
        <sz val="10"/>
        <rFont val="맑은 고딕"/>
        <family val="0"/>
        <charset val="1"/>
      </rPr>
      <t xml:space="preserve">1kg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</si>
  <si>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CP904851196</t>
  </si>
  <si>
    <r>
      <rPr>
        <sz val="10"/>
        <rFont val="DejaVu Sans"/>
        <family val="2"/>
      </rPr>
      <t xml:space="preserve">건강한하루 뮤즐리 </t>
    </r>
    <r>
      <rPr>
        <sz val="10"/>
        <rFont val="맑은 고딕"/>
        <family val="0"/>
        <charset val="1"/>
      </rPr>
      <t xml:space="preserve">1kg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</si>
  <si>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CP434720790</t>
  </si>
  <si>
    <r>
      <rPr>
        <sz val="10"/>
        <rFont val="DejaVu Sans"/>
        <family val="2"/>
      </rPr>
      <t xml:space="preserve">건강한하루 오트밀 스틱 </t>
    </r>
    <r>
      <rPr>
        <sz val="10"/>
        <rFont val="맑은 고딕"/>
        <family val="0"/>
        <charset val="1"/>
      </rPr>
      <t xml:space="preserve">30g x 10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</si>
  <si>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CP875130206</t>
  </si>
  <si>
    <r>
      <rPr>
        <sz val="10"/>
        <rFont val="DejaVu Sans"/>
        <family val="2"/>
      </rPr>
      <t xml:space="preserve">건강한하루 오트밀 스틱 </t>
    </r>
    <r>
      <rPr>
        <sz val="10"/>
        <rFont val="맑은 고딕"/>
        <family val="0"/>
        <charset val="1"/>
      </rPr>
      <t xml:space="preserve">30g x 30 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</si>
  <si>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CP918437502</t>
  </si>
  <si>
    <r>
      <rPr>
        <sz val="10"/>
        <rFont val="DejaVu Sans"/>
        <family val="2"/>
      </rPr>
      <t xml:space="preserve">건강한하루 그래놀라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프로틴바 </t>
    </r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</si>
  <si>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CP301539636</t>
  </si>
  <si>
    <r>
      <rPr>
        <sz val="10"/>
        <rFont val="DejaVu Sans"/>
        <family val="2"/>
      </rPr>
      <t xml:space="preserve">건강한하루 프리미엄 </t>
    </r>
    <r>
      <rPr>
        <sz val="10"/>
        <rFont val="맑은 고딕"/>
        <family val="0"/>
        <charset val="1"/>
      </rPr>
      <t xml:space="preserve">B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</si>
  <si>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CP361332803</t>
  </si>
  <si>
    <r>
      <rPr>
        <sz val="10"/>
        <rFont val="DejaVu Sans"/>
        <family val="2"/>
      </rPr>
      <t xml:space="preserve">건강한하루 스무디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잼 </t>
    </r>
    <r>
      <rPr>
        <sz val="10"/>
        <rFont val="맑은 고딕"/>
        <family val="0"/>
        <charset val="1"/>
      </rPr>
      <t xml:space="preserve">C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</si>
  <si>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CP913044971</t>
  </si>
  <si>
    <r>
      <rPr>
        <sz val="10"/>
        <rFont val="DejaVu Sans"/>
        <family val="2"/>
      </rPr>
      <t xml:space="preserve">건강한하루 견과류 </t>
    </r>
    <r>
      <rPr>
        <sz val="10"/>
        <rFont val="맑은 고딕"/>
        <family val="0"/>
        <charset val="1"/>
      </rPr>
      <t xml:space="preserve">D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</si>
  <si>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CP824910212</t>
  </si>
  <si>
    <r>
      <rPr>
        <sz val="10"/>
        <rFont val="DejaVu Sans"/>
        <family val="2"/>
      </rPr>
      <t xml:space="preserve">건강한하루 음료 모음 </t>
    </r>
    <r>
      <rPr>
        <sz val="10"/>
        <rFont val="맑은 고딕"/>
        <family val="0"/>
        <charset val="1"/>
      </rPr>
      <t xml:space="preserve">E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</si>
  <si>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CP336645724</t>
  </si>
  <si>
    <r>
      <rPr>
        <sz val="10"/>
        <rFont val="DejaVu Sans"/>
        <family val="2"/>
      </rPr>
      <t xml:space="preserve">건강한하루 올인원 </t>
    </r>
    <r>
      <rPr>
        <sz val="10"/>
        <rFont val="맑은 고딕"/>
        <family val="0"/>
        <charset val="1"/>
      </rPr>
      <t xml:space="preserve">F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</si>
  <si>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CP358177695</t>
  </si>
  <si>
    <r>
      <rPr>
        <sz val="10"/>
        <rFont val="DejaVu Sans"/>
        <family val="2"/>
      </rPr>
      <t xml:space="preserve">건강한하루 미니 체험 </t>
    </r>
    <r>
      <rPr>
        <sz val="10"/>
        <rFont val="맑은 고딕"/>
        <family val="0"/>
        <charset val="1"/>
      </rPr>
      <t xml:space="preserve">G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</si>
  <si>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CP874039389</t>
  </si>
  <si>
    <r>
      <rPr>
        <sz val="10"/>
        <rFont val="DejaVu Sans"/>
        <family val="2"/>
      </rPr>
      <t xml:space="preserve">건강한하루 명절 특대 </t>
    </r>
    <r>
      <rPr>
        <sz val="10"/>
        <rFont val="맑은 고딕"/>
        <family val="0"/>
        <charset val="1"/>
      </rPr>
      <t xml:space="preserve">H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</si>
  <si>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CP592209824</t>
  </si>
  <si>
    <r>
      <rPr>
        <sz val="10"/>
        <rFont val="DejaVu Sans"/>
        <family val="2"/>
      </rPr>
      <t xml:space="preserve">건강한하루 오피스 간식 </t>
    </r>
    <r>
      <rPr>
        <sz val="10"/>
        <rFont val="맑은 고딕"/>
        <family val="0"/>
        <charset val="1"/>
      </rPr>
      <t xml:space="preserve">I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</si>
  <si>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CP533491516</t>
  </si>
  <si>
    <r>
      <rPr>
        <sz val="10"/>
        <rFont val="DejaVu Sans"/>
        <family val="2"/>
      </rPr>
      <t xml:space="preserve">건강한하루 키즈 </t>
    </r>
    <r>
      <rPr>
        <sz val="10"/>
        <rFont val="맑은 고딕"/>
        <family val="0"/>
        <charset val="1"/>
      </rPr>
      <t xml:space="preserve">J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</si>
  <si>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CP217391673</t>
  </si>
  <si>
    <r>
      <rPr>
        <sz val="10"/>
        <rFont val="DejaVu Sans"/>
        <family val="2"/>
      </rPr>
      <t xml:space="preserve">건강한하루 다이어트 </t>
    </r>
    <r>
      <rPr>
        <sz val="10"/>
        <rFont val="맑은 고딕"/>
        <family val="0"/>
        <charset val="1"/>
      </rPr>
      <t xml:space="preserve">K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</si>
  <si>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CP605793053</t>
  </si>
  <si>
    <r>
      <rPr>
        <sz val="10"/>
        <rFont val="DejaVu Sans"/>
        <family val="2"/>
      </rPr>
      <t xml:space="preserve">건강한하루 커플 </t>
    </r>
    <r>
      <rPr>
        <sz val="10"/>
        <rFont val="맑은 고딕"/>
        <family val="0"/>
        <charset val="1"/>
      </rPr>
      <t xml:space="preserve">L</t>
    </r>
    <r>
      <rPr>
        <sz val="10"/>
        <rFont val="DejaVu Sans"/>
        <family val="2"/>
      </rPr>
      <t xml:space="preserve">세트 </t>
    </r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공식판매처</t>
    </r>
    <r>
      <rPr>
        <sz val="10"/>
        <rFont val="맑은 고딕"/>
        <family val="0"/>
        <charset val="1"/>
      </rPr>
      <t xml:space="preserve">]</t>
    </r>
  </si>
  <si>
    <t xml:space="preserve">딜번호</t>
  </si>
  <si>
    <t xml:space="preserve">선물비율</t>
  </si>
  <si>
    <t xml:space="preserve">KK-154432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</si>
  <si>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무화과잼 </t>
    </r>
    <r>
      <rPr>
        <sz val="10"/>
        <rFont val="맑은 고딕"/>
        <family val="0"/>
        <charset val="1"/>
      </rPr>
      <t xml:space="preserve">250g</t>
    </r>
  </si>
  <si>
    <t xml:space="preserve">KK-830847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</si>
  <si>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블루베리잼 </t>
    </r>
    <r>
      <rPr>
        <sz val="10"/>
        <rFont val="맑은 고딕"/>
        <family val="0"/>
        <charset val="1"/>
      </rPr>
      <t xml:space="preserve">250g</t>
    </r>
  </si>
  <si>
    <t xml:space="preserve">KK-857798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</si>
  <si>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딸기잼 </t>
    </r>
    <r>
      <rPr>
        <sz val="10"/>
        <rFont val="맑은 고딕"/>
        <family val="0"/>
        <charset val="1"/>
      </rPr>
      <t xml:space="preserve">250g</t>
    </r>
  </si>
  <si>
    <t xml:space="preserve">KK-886279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</si>
  <si>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살구잼 </t>
    </r>
    <r>
      <rPr>
        <sz val="10"/>
        <rFont val="맑은 고딕"/>
        <family val="0"/>
        <charset val="1"/>
      </rPr>
      <t xml:space="preserve">250g</t>
    </r>
  </si>
  <si>
    <t xml:space="preserve">KK-568667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</si>
  <si>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아몬드버터 </t>
    </r>
    <r>
      <rPr>
        <sz val="10"/>
        <rFont val="맑은 고딕"/>
        <family val="0"/>
        <charset val="1"/>
      </rPr>
      <t xml:space="preserve">200g</t>
    </r>
  </si>
  <si>
    <t xml:space="preserve">KK-685131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</si>
  <si>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캐슈넛버터 </t>
    </r>
    <r>
      <rPr>
        <sz val="10"/>
        <rFont val="맑은 고딕"/>
        <family val="0"/>
        <charset val="1"/>
      </rPr>
      <t xml:space="preserve">200g</t>
    </r>
  </si>
  <si>
    <t xml:space="preserve">KK-870680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</si>
  <si>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피넛버터 </t>
    </r>
    <r>
      <rPr>
        <sz val="10"/>
        <rFont val="맑은 고딕"/>
        <family val="0"/>
        <charset val="1"/>
      </rPr>
      <t xml:space="preserve">200g</t>
    </r>
  </si>
  <si>
    <t xml:space="preserve">KK-742411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</si>
  <si>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헤이즐넛버터 </t>
    </r>
    <r>
      <rPr>
        <sz val="10"/>
        <rFont val="맑은 고딕"/>
        <family val="0"/>
        <charset val="1"/>
      </rPr>
      <t xml:space="preserve">200g</t>
    </r>
  </si>
  <si>
    <t xml:space="preserve">KK-931636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</si>
  <si>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무화과잼 </t>
    </r>
    <r>
      <rPr>
        <sz val="10"/>
        <rFont val="맑은 고딕"/>
        <family val="0"/>
        <charset val="1"/>
      </rPr>
      <t xml:space="preserve">500g</t>
    </r>
  </si>
  <si>
    <t xml:space="preserve">KK-577994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</si>
  <si>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블루베리잼 </t>
    </r>
    <r>
      <rPr>
        <sz val="10"/>
        <rFont val="맑은 고딕"/>
        <family val="0"/>
        <charset val="1"/>
      </rPr>
      <t xml:space="preserve">500g</t>
    </r>
  </si>
  <si>
    <t xml:space="preserve">KK-266505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</si>
  <si>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딸기잼 </t>
    </r>
    <r>
      <rPr>
        <sz val="10"/>
        <rFont val="맑은 고딕"/>
        <family val="0"/>
        <charset val="1"/>
      </rPr>
      <t xml:space="preserve">500g</t>
    </r>
  </si>
  <si>
    <t xml:space="preserve">KK-844095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</si>
  <si>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아몬드버터 </t>
    </r>
    <r>
      <rPr>
        <sz val="10"/>
        <rFont val="맑은 고딕"/>
        <family val="0"/>
        <charset val="1"/>
      </rPr>
      <t xml:space="preserve">500g</t>
    </r>
  </si>
  <si>
    <t xml:space="preserve">KK-291265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</si>
  <si>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콜드브루 라떼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</t>
    </r>
  </si>
  <si>
    <t xml:space="preserve">KK-340036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</si>
  <si>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콜드브루 블랙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</t>
    </r>
  </si>
  <si>
    <t xml:space="preserve">KK-121853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</si>
  <si>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콜드브루 라떼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</t>
    </r>
  </si>
  <si>
    <t xml:space="preserve">KK-273731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</si>
  <si>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콤부차 레몬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</t>
    </r>
  </si>
  <si>
    <t xml:space="preserve">KK-455785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</si>
  <si>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오트밀크 </t>
    </r>
    <r>
      <rPr>
        <sz val="10"/>
        <rFont val="맑은 고딕"/>
        <family val="0"/>
        <charset val="1"/>
      </rPr>
      <t xml:space="preserve">190ml x 12</t>
    </r>
  </si>
  <si>
    <t xml:space="preserve">KK-707852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</si>
  <si>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프로틴워터 </t>
    </r>
    <r>
      <rPr>
        <sz val="10"/>
        <rFont val="맑은 고딕"/>
        <family val="0"/>
        <charset val="1"/>
      </rPr>
      <t xml:space="preserve">500ml x 12</t>
    </r>
  </si>
  <si>
    <t xml:space="preserve">KK-422477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</si>
  <si>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믹스넛 </t>
    </r>
    <r>
      <rPr>
        <sz val="10"/>
        <rFont val="맑은 고딕"/>
        <family val="0"/>
        <charset val="1"/>
      </rPr>
      <t xml:space="preserve">500g</t>
    </r>
  </si>
  <si>
    <t xml:space="preserve">KK-247014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</si>
  <si>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아몬드 </t>
    </r>
    <r>
      <rPr>
        <sz val="10"/>
        <rFont val="맑은 고딕"/>
        <family val="0"/>
        <charset val="1"/>
      </rPr>
      <t xml:space="preserve">500g</t>
    </r>
  </si>
  <si>
    <t xml:space="preserve">KK-277410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</si>
  <si>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캐슈넛 </t>
    </r>
    <r>
      <rPr>
        <sz val="10"/>
        <rFont val="맑은 고딕"/>
        <family val="0"/>
        <charset val="1"/>
      </rPr>
      <t xml:space="preserve">500g</t>
    </r>
  </si>
  <si>
    <t xml:space="preserve">KK-792408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</si>
  <si>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호두 </t>
    </r>
    <r>
      <rPr>
        <sz val="10"/>
        <rFont val="맑은 고딕"/>
        <family val="0"/>
        <charset val="1"/>
      </rPr>
      <t xml:space="preserve">500g</t>
    </r>
  </si>
  <si>
    <t xml:space="preserve">KK-770292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</si>
  <si>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피칸 </t>
    </r>
    <r>
      <rPr>
        <sz val="10"/>
        <rFont val="맑은 고딕"/>
        <family val="0"/>
        <charset val="1"/>
      </rPr>
      <t xml:space="preserve">300g</t>
    </r>
  </si>
  <si>
    <t xml:space="preserve">KK-863308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</si>
  <si>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마카다미아 </t>
    </r>
    <r>
      <rPr>
        <sz val="10"/>
        <rFont val="맑은 고딕"/>
        <family val="0"/>
        <charset val="1"/>
      </rPr>
      <t xml:space="preserve">300g</t>
    </r>
  </si>
  <si>
    <t xml:space="preserve">KK-263455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</si>
  <si>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믹스넛 </t>
    </r>
    <r>
      <rPr>
        <sz val="10"/>
        <rFont val="맑은 고딕"/>
        <family val="0"/>
        <charset val="1"/>
      </rPr>
      <t xml:space="preserve">1kg</t>
    </r>
  </si>
  <si>
    <t xml:space="preserve">KK-490069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</si>
  <si>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아몬드 </t>
    </r>
    <r>
      <rPr>
        <sz val="10"/>
        <rFont val="맑은 고딕"/>
        <family val="0"/>
        <charset val="1"/>
      </rPr>
      <t xml:space="preserve">1kg</t>
    </r>
  </si>
  <si>
    <t xml:space="preserve">KK-689547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</si>
  <si>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캐슈넛 </t>
    </r>
    <r>
      <rPr>
        <sz val="10"/>
        <rFont val="맑은 고딕"/>
        <family val="0"/>
        <charset val="1"/>
      </rPr>
      <t xml:space="preserve">1kg</t>
    </r>
  </si>
  <si>
    <t xml:space="preserve">KK-416959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</si>
  <si>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호두 </t>
    </r>
    <r>
      <rPr>
        <sz val="10"/>
        <rFont val="맑은 고딕"/>
        <family val="0"/>
        <charset val="1"/>
      </rPr>
      <t xml:space="preserve">1kg</t>
    </r>
  </si>
  <si>
    <t xml:space="preserve">KK-549949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</si>
  <si>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하루견과 </t>
    </r>
    <r>
      <rPr>
        <sz val="10"/>
        <rFont val="맑은 고딕"/>
        <family val="0"/>
        <charset val="1"/>
      </rPr>
      <t xml:space="preserve">25g x 30</t>
    </r>
    <r>
      <rPr>
        <sz val="10"/>
        <rFont val="DejaVu Sans"/>
        <family val="2"/>
      </rPr>
      <t xml:space="preserve">봉</t>
    </r>
  </si>
  <si>
    <t xml:space="preserve">KK-673654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</si>
  <si>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하루견과 </t>
    </r>
    <r>
      <rPr>
        <sz val="10"/>
        <rFont val="맑은 고딕"/>
        <family val="0"/>
        <charset val="1"/>
      </rPr>
      <t xml:space="preserve">25g x 50</t>
    </r>
    <r>
      <rPr>
        <sz val="10"/>
        <rFont val="DejaVu Sans"/>
        <family val="2"/>
      </rPr>
      <t xml:space="preserve">봉</t>
    </r>
  </si>
  <si>
    <t xml:space="preserve">KK-717494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</si>
  <si>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허니버터 아몬드 </t>
    </r>
    <r>
      <rPr>
        <sz val="10"/>
        <rFont val="맑은 고딕"/>
        <family val="0"/>
        <charset val="1"/>
      </rPr>
      <t xml:space="preserve">200g</t>
    </r>
  </si>
  <si>
    <t xml:space="preserve">KK-790897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</si>
  <si>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와사비 아몬드 </t>
    </r>
    <r>
      <rPr>
        <sz val="10"/>
        <rFont val="맑은 고딕"/>
        <family val="0"/>
        <charset val="1"/>
      </rPr>
      <t xml:space="preserve">200g</t>
    </r>
  </si>
  <si>
    <t xml:space="preserve">KK-991040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</si>
  <si>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그래놀라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프로틴바 </t>
    </r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세트</t>
    </r>
  </si>
  <si>
    <t xml:space="preserve">KK-304730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</si>
  <si>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프리미엄 </t>
    </r>
    <r>
      <rPr>
        <sz val="10"/>
        <rFont val="맑은 고딕"/>
        <family val="0"/>
        <charset val="1"/>
      </rPr>
      <t xml:space="preserve">B</t>
    </r>
    <r>
      <rPr>
        <sz val="10"/>
        <rFont val="DejaVu Sans"/>
        <family val="2"/>
      </rPr>
      <t xml:space="preserve">세트</t>
    </r>
  </si>
  <si>
    <t xml:space="preserve">KK-618122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</si>
  <si>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스무디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잼 </t>
    </r>
    <r>
      <rPr>
        <sz val="10"/>
        <rFont val="맑은 고딕"/>
        <family val="0"/>
        <charset val="1"/>
      </rPr>
      <t xml:space="preserve">C</t>
    </r>
    <r>
      <rPr>
        <sz val="10"/>
        <rFont val="DejaVu Sans"/>
        <family val="2"/>
      </rPr>
      <t xml:space="preserve">세트</t>
    </r>
  </si>
  <si>
    <t xml:space="preserve">KK-891921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</si>
  <si>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견과류 </t>
    </r>
    <r>
      <rPr>
        <sz val="10"/>
        <rFont val="맑은 고딕"/>
        <family val="0"/>
        <charset val="1"/>
      </rPr>
      <t xml:space="preserve">D</t>
    </r>
    <r>
      <rPr>
        <sz val="10"/>
        <rFont val="DejaVu Sans"/>
        <family val="2"/>
      </rPr>
      <t xml:space="preserve">세트</t>
    </r>
  </si>
  <si>
    <t xml:space="preserve">KK-748257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</si>
  <si>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음료 모음 </t>
    </r>
    <r>
      <rPr>
        <sz val="10"/>
        <rFont val="맑은 고딕"/>
        <family val="0"/>
        <charset val="1"/>
      </rPr>
      <t xml:space="preserve">E</t>
    </r>
    <r>
      <rPr>
        <sz val="10"/>
        <rFont val="DejaVu Sans"/>
        <family val="2"/>
      </rPr>
      <t xml:space="preserve">세트</t>
    </r>
  </si>
  <si>
    <t xml:space="preserve">KK-551887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</si>
  <si>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올인원 </t>
    </r>
    <r>
      <rPr>
        <sz val="10"/>
        <rFont val="맑은 고딕"/>
        <family val="0"/>
        <charset val="1"/>
      </rPr>
      <t xml:space="preserve">F</t>
    </r>
    <r>
      <rPr>
        <sz val="10"/>
        <rFont val="DejaVu Sans"/>
        <family val="2"/>
      </rPr>
      <t xml:space="preserve">세트</t>
    </r>
  </si>
  <si>
    <t xml:space="preserve">KK-885085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</si>
  <si>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미니 체험 </t>
    </r>
    <r>
      <rPr>
        <sz val="10"/>
        <rFont val="맑은 고딕"/>
        <family val="0"/>
        <charset val="1"/>
      </rPr>
      <t xml:space="preserve">G</t>
    </r>
    <r>
      <rPr>
        <sz val="10"/>
        <rFont val="DejaVu Sans"/>
        <family val="2"/>
      </rPr>
      <t xml:space="preserve">세트</t>
    </r>
  </si>
  <si>
    <t xml:space="preserve">KK-583344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</si>
  <si>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명절 특대 </t>
    </r>
    <r>
      <rPr>
        <sz val="10"/>
        <rFont val="맑은 고딕"/>
        <family val="0"/>
        <charset val="1"/>
      </rPr>
      <t xml:space="preserve">H</t>
    </r>
    <r>
      <rPr>
        <sz val="10"/>
        <rFont val="DejaVu Sans"/>
        <family val="2"/>
      </rPr>
      <t xml:space="preserve">세트</t>
    </r>
  </si>
  <si>
    <t xml:space="preserve">KK-159366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</si>
  <si>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오피스 간식 </t>
    </r>
    <r>
      <rPr>
        <sz val="10"/>
        <rFont val="맑은 고딕"/>
        <family val="0"/>
        <charset val="1"/>
      </rPr>
      <t xml:space="preserve">I</t>
    </r>
    <r>
      <rPr>
        <sz val="10"/>
        <rFont val="DejaVu Sans"/>
        <family val="2"/>
      </rPr>
      <t xml:space="preserve">세트</t>
    </r>
  </si>
  <si>
    <t xml:space="preserve">KK-332034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</si>
  <si>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키즈 </t>
    </r>
    <r>
      <rPr>
        <sz val="10"/>
        <rFont val="맑은 고딕"/>
        <family val="0"/>
        <charset val="1"/>
      </rPr>
      <t xml:space="preserve">J</t>
    </r>
    <r>
      <rPr>
        <sz val="10"/>
        <rFont val="DejaVu Sans"/>
        <family val="2"/>
      </rPr>
      <t xml:space="preserve">세트</t>
    </r>
  </si>
  <si>
    <t xml:space="preserve">KK-125021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</si>
  <si>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다이어트 </t>
    </r>
    <r>
      <rPr>
        <sz val="10"/>
        <rFont val="맑은 고딕"/>
        <family val="0"/>
        <charset val="1"/>
      </rPr>
      <t xml:space="preserve">K</t>
    </r>
    <r>
      <rPr>
        <sz val="10"/>
        <rFont val="DejaVu Sans"/>
        <family val="2"/>
      </rPr>
      <t xml:space="preserve">세트</t>
    </r>
  </si>
  <si>
    <t xml:space="preserve">KK-538365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</si>
  <si>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선물추천</t>
    </r>
    <r>
      <rPr>
        <sz val="10"/>
        <rFont val="맑은 고딕"/>
        <family val="0"/>
        <charset val="1"/>
      </rPr>
      <t xml:space="preserve">] </t>
    </r>
    <r>
      <rPr>
        <sz val="10"/>
        <rFont val="DejaVu Sans"/>
        <family val="2"/>
      </rPr>
      <t xml:space="preserve">건강한하루 커플 </t>
    </r>
    <r>
      <rPr>
        <sz val="10"/>
        <rFont val="맑은 고딕"/>
        <family val="0"/>
        <charset val="1"/>
      </rPr>
      <t xml:space="preserve">L</t>
    </r>
    <r>
      <rPr>
        <sz val="10"/>
        <rFont val="DejaVu Sans"/>
        <family val="2"/>
      </rPr>
      <t xml:space="preserve">세트</t>
    </r>
  </si>
  <si>
    <t xml:space="preserve">회원할인율</t>
  </si>
  <si>
    <t xml:space="preserve">반품수</t>
  </si>
  <si>
    <t xml:space="preserve">반품률</t>
  </si>
  <si>
    <r>
      <rPr>
        <sz val="10"/>
        <rFont val="DejaVu Sans"/>
        <family val="2"/>
      </rPr>
      <t xml:space="preserve">건강한하루 오리지널 </t>
    </r>
    <r>
      <rPr>
        <sz val="10"/>
        <rFont val="맑은 고딕"/>
        <family val="0"/>
        <charset val="1"/>
      </rPr>
      <t xml:space="preserve">400g</t>
    </r>
  </si>
  <si>
    <r>
      <rPr>
        <sz val="10"/>
        <rFont val="DejaVu Sans"/>
        <family val="2"/>
      </rPr>
      <t xml:space="preserve">건강한하루 다크초코 </t>
    </r>
    <r>
      <rPr>
        <sz val="10"/>
        <rFont val="맑은 고딕"/>
        <family val="0"/>
        <charset val="1"/>
      </rPr>
      <t xml:space="preserve">400g</t>
    </r>
  </si>
  <si>
    <r>
      <rPr>
        <sz val="10"/>
        <rFont val="DejaVu Sans"/>
        <family val="2"/>
      </rPr>
      <t xml:space="preserve">건강한하루 베리믹스 </t>
    </r>
    <r>
      <rPr>
        <sz val="10"/>
        <rFont val="맑은 고딕"/>
        <family val="0"/>
        <charset val="1"/>
      </rPr>
      <t xml:space="preserve">400g</t>
    </r>
  </si>
  <si>
    <r>
      <rPr>
        <sz val="10"/>
        <rFont val="DejaVu Sans"/>
        <family val="2"/>
      </rPr>
      <t xml:space="preserve">건강한하루 코코넛 </t>
    </r>
    <r>
      <rPr>
        <sz val="10"/>
        <rFont val="맑은 고딕"/>
        <family val="0"/>
        <charset val="1"/>
      </rPr>
      <t xml:space="preserve">400g</t>
    </r>
  </si>
  <si>
    <r>
      <rPr>
        <sz val="10"/>
        <rFont val="DejaVu Sans"/>
        <family val="2"/>
      </rPr>
      <t xml:space="preserve">건강한하루 말차 </t>
    </r>
    <r>
      <rPr>
        <sz val="10"/>
        <rFont val="맑은 고딕"/>
        <family val="0"/>
        <charset val="1"/>
      </rPr>
      <t xml:space="preserve">400g</t>
    </r>
  </si>
  <si>
    <r>
      <rPr>
        <sz val="10"/>
        <rFont val="DejaVu Sans"/>
        <family val="2"/>
      </rPr>
      <t xml:space="preserve">건강한하루 꿀귀리 </t>
    </r>
    <r>
      <rPr>
        <sz val="10"/>
        <rFont val="맑은 고딕"/>
        <family val="0"/>
        <charset val="1"/>
      </rPr>
      <t xml:space="preserve">400g</t>
    </r>
  </si>
  <si>
    <r>
      <rPr>
        <sz val="10"/>
        <rFont val="DejaVu Sans"/>
        <family val="2"/>
      </rPr>
      <t xml:space="preserve">건강한하루 트로피컬 </t>
    </r>
    <r>
      <rPr>
        <sz val="10"/>
        <rFont val="맑은 고딕"/>
        <family val="0"/>
        <charset val="1"/>
      </rPr>
      <t xml:space="preserve">400g</t>
    </r>
  </si>
  <si>
    <r>
      <rPr>
        <sz val="10"/>
        <rFont val="DejaVu Sans"/>
        <family val="2"/>
      </rPr>
      <t xml:space="preserve">건강한하루 팥앙금 </t>
    </r>
    <r>
      <rPr>
        <sz val="10"/>
        <rFont val="맑은 고딕"/>
        <family val="0"/>
        <charset val="1"/>
      </rPr>
      <t xml:space="preserve">400g</t>
    </r>
  </si>
  <si>
    <r>
      <rPr>
        <sz val="10"/>
        <rFont val="DejaVu Sans"/>
        <family val="2"/>
      </rPr>
      <t xml:space="preserve">건강한하루 흑임자 </t>
    </r>
    <r>
      <rPr>
        <sz val="10"/>
        <rFont val="맑은 고딕"/>
        <family val="0"/>
        <charset val="1"/>
      </rPr>
      <t xml:space="preserve">400g</t>
    </r>
  </si>
  <si>
    <r>
      <rPr>
        <sz val="10"/>
        <rFont val="DejaVu Sans"/>
        <family val="2"/>
      </rPr>
      <t xml:space="preserve">건강한하루 오리지널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</si>
  <si>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다크초코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</si>
  <si>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베리믹스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</si>
  <si>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미니팩 </t>
    </r>
    <r>
      <rPr>
        <sz val="10"/>
        <rFont val="맑은 고딕"/>
        <family val="0"/>
        <charset val="1"/>
      </rPr>
      <t xml:space="preserve">30g x 10</t>
    </r>
  </si>
  <si>
    <r>
      <rPr>
        <sz val="10"/>
        <rFont val="DejaVu Sans"/>
        <family val="2"/>
      </rPr>
      <t xml:space="preserve">건강한하루 미니팩 </t>
    </r>
    <r>
      <rPr>
        <sz val="10"/>
        <rFont val="맑은 고딕"/>
        <family val="0"/>
        <charset val="1"/>
      </rPr>
      <t xml:space="preserve">30g x 20</t>
    </r>
  </si>
  <si>
    <r>
      <rPr>
        <sz val="10"/>
        <rFont val="DejaVu Sans"/>
        <family val="2"/>
      </rPr>
      <t xml:space="preserve">건강한하루 오리지널 </t>
    </r>
    <r>
      <rPr>
        <sz val="10"/>
        <rFont val="맑은 고딕"/>
        <family val="0"/>
        <charset val="1"/>
      </rPr>
      <t xml:space="preserve">200g</t>
    </r>
  </si>
  <si>
    <r>
      <rPr>
        <sz val="10"/>
        <rFont val="DejaVu Sans"/>
        <family val="2"/>
      </rPr>
      <t xml:space="preserve">건강한하루 다크초코 </t>
    </r>
    <r>
      <rPr>
        <sz val="10"/>
        <rFont val="맑은 고딕"/>
        <family val="0"/>
        <charset val="1"/>
      </rPr>
      <t xml:space="preserve">200g</t>
    </r>
  </si>
  <si>
    <r>
      <rPr>
        <sz val="10"/>
        <rFont val="DejaVu Sans"/>
        <family val="2"/>
      </rPr>
      <t xml:space="preserve">건강한하루 초코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</si>
  <si>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피넛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</si>
  <si>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쿠키앤크림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</si>
  <si>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카라멜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</si>
  <si>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바닐라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</si>
  <si>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더블초코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</si>
  <si>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초코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</si>
  <si>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피넛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</si>
  <si>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쿠키앤크림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</si>
  <si>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카라멜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</si>
  <si>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건강한하루 초코 낱개</t>
  </si>
  <si>
    <t xml:space="preserve">건강한하루 피넛 낱개</t>
  </si>
  <si>
    <r>
      <rPr>
        <sz val="10"/>
        <rFont val="DejaVu Sans"/>
        <family val="2"/>
      </rPr>
      <t xml:space="preserve">건강한하루 혼합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</si>
  <si>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혼합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</si>
  <si>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미니바 초코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</si>
  <si>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미니바 피넛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</si>
  <si>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그린 파우더 </t>
    </r>
    <r>
      <rPr>
        <sz val="10"/>
        <rFont val="맑은 고딕"/>
        <family val="0"/>
        <charset val="1"/>
      </rPr>
      <t xml:space="preserve">300g</t>
    </r>
  </si>
  <si>
    <r>
      <rPr>
        <sz val="10"/>
        <rFont val="DejaVu Sans"/>
        <family val="2"/>
      </rPr>
      <t xml:space="preserve">건강한하루 베리 파우더 </t>
    </r>
    <r>
      <rPr>
        <sz val="10"/>
        <rFont val="맑은 고딕"/>
        <family val="0"/>
        <charset val="1"/>
      </rPr>
      <t xml:space="preserve">300g</t>
    </r>
  </si>
  <si>
    <r>
      <rPr>
        <sz val="10"/>
        <rFont val="DejaVu Sans"/>
        <family val="2"/>
      </rPr>
      <t xml:space="preserve">건강한하루 프로틴 파우더 </t>
    </r>
    <r>
      <rPr>
        <sz val="10"/>
        <rFont val="맑은 고딕"/>
        <family val="0"/>
        <charset val="1"/>
      </rPr>
      <t xml:space="preserve">300g</t>
    </r>
  </si>
  <si>
    <r>
      <rPr>
        <sz val="10"/>
        <rFont val="DejaVu Sans"/>
        <family val="2"/>
      </rPr>
      <t xml:space="preserve">건강한하루 망고 파우더 </t>
    </r>
    <r>
      <rPr>
        <sz val="10"/>
        <rFont val="맑은 고딕"/>
        <family val="0"/>
        <charset val="1"/>
      </rPr>
      <t xml:space="preserve">300g</t>
    </r>
  </si>
  <si>
    <r>
      <rPr>
        <sz val="10"/>
        <rFont val="DejaVu Sans"/>
        <family val="2"/>
      </rPr>
      <t xml:space="preserve">건강한하루 바나나 파우더 </t>
    </r>
    <r>
      <rPr>
        <sz val="10"/>
        <rFont val="맑은 고딕"/>
        <family val="0"/>
        <charset val="1"/>
      </rPr>
      <t xml:space="preserve">300g</t>
    </r>
  </si>
  <si>
    <r>
      <rPr>
        <sz val="10"/>
        <rFont val="DejaVu Sans"/>
        <family val="2"/>
      </rPr>
      <t xml:space="preserve">건강한하루 아사이 파우더 </t>
    </r>
    <r>
      <rPr>
        <sz val="10"/>
        <rFont val="맑은 고딕"/>
        <family val="0"/>
        <charset val="1"/>
      </rPr>
      <t xml:space="preserve">300g</t>
    </r>
  </si>
  <si>
    <r>
      <rPr>
        <sz val="10"/>
        <rFont val="DejaVu Sans"/>
        <family val="2"/>
      </rPr>
      <t xml:space="preserve">건강한하루 그린 파우더 </t>
    </r>
    <r>
      <rPr>
        <sz val="10"/>
        <rFont val="맑은 고딕"/>
        <family val="0"/>
        <charset val="1"/>
      </rPr>
      <t xml:space="preserve">600g</t>
    </r>
  </si>
  <si>
    <r>
      <rPr>
        <sz val="10"/>
        <rFont val="DejaVu Sans"/>
        <family val="2"/>
      </rPr>
      <t xml:space="preserve">건강한하루 베리 파우더 </t>
    </r>
    <r>
      <rPr>
        <sz val="10"/>
        <rFont val="맑은 고딕"/>
        <family val="0"/>
        <charset val="1"/>
      </rPr>
      <t xml:space="preserve">600g</t>
    </r>
  </si>
  <si>
    <r>
      <rPr>
        <sz val="10"/>
        <rFont val="DejaVu Sans"/>
        <family val="2"/>
      </rPr>
      <t xml:space="preserve">건강한하루 프로틴 파우더 </t>
    </r>
    <r>
      <rPr>
        <sz val="10"/>
        <rFont val="맑은 고딕"/>
        <family val="0"/>
        <charset val="1"/>
      </rPr>
      <t xml:space="preserve">600g</t>
    </r>
  </si>
  <si>
    <r>
      <rPr>
        <sz val="10"/>
        <rFont val="DejaVu Sans"/>
        <family val="2"/>
      </rPr>
      <t xml:space="preserve">건강한하루 그린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</si>
  <si>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베리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</si>
  <si>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프로틴 스틱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</si>
  <si>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그린 스틱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</si>
  <si>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베리 스틱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개입</t>
    </r>
  </si>
  <si>
    <r>
      <rPr>
        <sz val="10"/>
        <rFont val="DejaVu Sans"/>
        <family val="2"/>
      </rPr>
      <t xml:space="preserve">건강한하루 무화과잼 </t>
    </r>
    <r>
      <rPr>
        <sz val="10"/>
        <rFont val="맑은 고딕"/>
        <family val="0"/>
        <charset val="1"/>
      </rPr>
      <t xml:space="preserve">250g</t>
    </r>
  </si>
  <si>
    <r>
      <rPr>
        <sz val="10"/>
        <rFont val="DejaVu Sans"/>
        <family val="2"/>
      </rPr>
      <t xml:space="preserve">건강한하루 블루베리잼 </t>
    </r>
    <r>
      <rPr>
        <sz val="10"/>
        <rFont val="맑은 고딕"/>
        <family val="0"/>
        <charset val="1"/>
      </rPr>
      <t xml:space="preserve">250g</t>
    </r>
  </si>
  <si>
    <r>
      <rPr>
        <sz val="10"/>
        <rFont val="DejaVu Sans"/>
        <family val="2"/>
      </rPr>
      <t xml:space="preserve">건강한하루 딸기잼 </t>
    </r>
    <r>
      <rPr>
        <sz val="10"/>
        <rFont val="맑은 고딕"/>
        <family val="0"/>
        <charset val="1"/>
      </rPr>
      <t xml:space="preserve">250g</t>
    </r>
  </si>
  <si>
    <r>
      <rPr>
        <sz val="10"/>
        <rFont val="DejaVu Sans"/>
        <family val="2"/>
      </rPr>
      <t xml:space="preserve">건강한하루 살구잼 </t>
    </r>
    <r>
      <rPr>
        <sz val="10"/>
        <rFont val="맑은 고딕"/>
        <family val="0"/>
        <charset val="1"/>
      </rPr>
      <t xml:space="preserve">250g</t>
    </r>
  </si>
  <si>
    <r>
      <rPr>
        <sz val="10"/>
        <rFont val="DejaVu Sans"/>
        <family val="2"/>
      </rPr>
      <t xml:space="preserve">건강한하루 아몬드버터 </t>
    </r>
    <r>
      <rPr>
        <sz val="10"/>
        <rFont val="맑은 고딕"/>
        <family val="0"/>
        <charset val="1"/>
      </rPr>
      <t xml:space="preserve">200g</t>
    </r>
  </si>
  <si>
    <r>
      <rPr>
        <sz val="10"/>
        <rFont val="DejaVu Sans"/>
        <family val="2"/>
      </rPr>
      <t xml:space="preserve">건강한하루 캐슈넛버터 </t>
    </r>
    <r>
      <rPr>
        <sz val="10"/>
        <rFont val="맑은 고딕"/>
        <family val="0"/>
        <charset val="1"/>
      </rPr>
      <t xml:space="preserve">200g</t>
    </r>
  </si>
  <si>
    <r>
      <rPr>
        <sz val="10"/>
        <rFont val="DejaVu Sans"/>
        <family val="2"/>
      </rPr>
      <t xml:space="preserve">건강한하루 피넛버터 </t>
    </r>
    <r>
      <rPr>
        <sz val="10"/>
        <rFont val="맑은 고딕"/>
        <family val="0"/>
        <charset val="1"/>
      </rPr>
      <t xml:space="preserve">200g</t>
    </r>
  </si>
  <si>
    <r>
      <rPr>
        <sz val="10"/>
        <rFont val="DejaVu Sans"/>
        <family val="2"/>
      </rPr>
      <t xml:space="preserve">건강한하루 헤이즐넛버터 </t>
    </r>
    <r>
      <rPr>
        <sz val="10"/>
        <rFont val="맑은 고딕"/>
        <family val="0"/>
        <charset val="1"/>
      </rPr>
      <t xml:space="preserve">200g</t>
    </r>
  </si>
  <si>
    <r>
      <rPr>
        <sz val="10"/>
        <rFont val="DejaVu Sans"/>
        <family val="2"/>
      </rPr>
      <t xml:space="preserve">건강한하루 무화과잼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</si>
  <si>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블루베리잼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</si>
  <si>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딸기잼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</si>
  <si>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아몬드버터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</si>
  <si>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콜드브루 블랙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</t>
    </r>
  </si>
  <si>
    <r>
      <rPr>
        <sz val="10"/>
        <rFont val="DejaVu Sans"/>
        <family val="2"/>
      </rPr>
      <t xml:space="preserve">건강한하루 콜드브루 라떼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</t>
    </r>
  </si>
  <si>
    <r>
      <rPr>
        <sz val="10"/>
        <rFont val="DejaVu Sans"/>
        <family val="2"/>
      </rPr>
      <t xml:space="preserve">건강한하루 콤부차 레몬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</t>
    </r>
  </si>
  <si>
    <r>
      <rPr>
        <sz val="10"/>
        <rFont val="DejaVu Sans"/>
        <family val="2"/>
      </rPr>
      <t xml:space="preserve">건강한하루 콤부차 베리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</t>
    </r>
  </si>
  <si>
    <r>
      <rPr>
        <sz val="10"/>
        <rFont val="DejaVu Sans"/>
        <family val="2"/>
      </rPr>
      <t xml:space="preserve">건강한하루 콜드브루 블랙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</t>
    </r>
  </si>
  <si>
    <r>
      <rPr>
        <sz val="10"/>
        <rFont val="DejaVu Sans"/>
        <family val="2"/>
      </rPr>
      <t xml:space="preserve">건강한하루 콜드브루 라떼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</t>
    </r>
  </si>
  <si>
    <r>
      <rPr>
        <sz val="10"/>
        <rFont val="DejaVu Sans"/>
        <family val="2"/>
      </rPr>
      <t xml:space="preserve">건강한하루 콤부차 레몬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</t>
    </r>
  </si>
  <si>
    <r>
      <rPr>
        <sz val="10"/>
        <rFont val="DejaVu Sans"/>
        <family val="2"/>
      </rPr>
      <t xml:space="preserve">건강한하루 콤부차 베리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팩</t>
    </r>
  </si>
  <si>
    <r>
      <rPr>
        <sz val="10"/>
        <rFont val="DejaVu Sans"/>
        <family val="2"/>
      </rPr>
      <t xml:space="preserve">건강한하루 오트밀크 </t>
    </r>
    <r>
      <rPr>
        <sz val="10"/>
        <rFont val="맑은 고딕"/>
        <family val="0"/>
        <charset val="1"/>
      </rPr>
      <t xml:space="preserve">190ml x 6</t>
    </r>
  </si>
  <si>
    <r>
      <rPr>
        <sz val="10"/>
        <rFont val="DejaVu Sans"/>
        <family val="2"/>
      </rPr>
      <t xml:space="preserve">건강한하루 오트밀크 </t>
    </r>
    <r>
      <rPr>
        <sz val="10"/>
        <rFont val="맑은 고딕"/>
        <family val="0"/>
        <charset val="1"/>
      </rPr>
      <t xml:space="preserve">190ml x 12</t>
    </r>
  </si>
  <si>
    <r>
      <rPr>
        <sz val="10"/>
        <rFont val="DejaVu Sans"/>
        <family val="2"/>
      </rPr>
      <t xml:space="preserve">건강한하루 프로틴워터 </t>
    </r>
    <r>
      <rPr>
        <sz val="10"/>
        <rFont val="맑은 고딕"/>
        <family val="0"/>
        <charset val="1"/>
      </rPr>
      <t xml:space="preserve">500ml x 6</t>
    </r>
  </si>
  <si>
    <r>
      <rPr>
        <sz val="10"/>
        <rFont val="DejaVu Sans"/>
        <family val="2"/>
      </rPr>
      <t xml:space="preserve">건강한하루 프로틴워터 </t>
    </r>
    <r>
      <rPr>
        <sz val="10"/>
        <rFont val="맑은 고딕"/>
        <family val="0"/>
        <charset val="1"/>
      </rPr>
      <t xml:space="preserve">500ml x 12</t>
    </r>
  </si>
  <si>
    <r>
      <rPr>
        <sz val="10"/>
        <rFont val="DejaVu Sans"/>
        <family val="2"/>
      </rPr>
      <t xml:space="preserve">건강한하루 믹스넛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</si>
  <si>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아몬드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</si>
  <si>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캐슈넛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</si>
  <si>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호두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</si>
  <si>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피칸 </t>
    </r>
    <r>
      <rPr>
        <sz val="10"/>
        <rFont val="맑은 고딕"/>
        <family val="0"/>
        <charset val="1"/>
      </rPr>
      <t xml:space="preserve">300g</t>
    </r>
  </si>
  <si>
    <r>
      <rPr>
        <sz val="10"/>
        <rFont val="DejaVu Sans"/>
        <family val="2"/>
      </rPr>
      <t xml:space="preserve">건강한하루 마카다미아 </t>
    </r>
    <r>
      <rPr>
        <sz val="10"/>
        <rFont val="맑은 고딕"/>
        <family val="0"/>
        <charset val="1"/>
      </rPr>
      <t xml:space="preserve">300g</t>
    </r>
  </si>
  <si>
    <r>
      <rPr>
        <sz val="10"/>
        <rFont val="DejaVu Sans"/>
        <family val="2"/>
      </rPr>
      <t xml:space="preserve">건강한하루 믹스넛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</si>
  <si>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아몬드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</si>
  <si>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캐슈넛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</si>
  <si>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호두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</si>
  <si>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하루견과 </t>
    </r>
    <r>
      <rPr>
        <sz val="10"/>
        <rFont val="맑은 고딕"/>
        <family val="0"/>
        <charset val="1"/>
      </rPr>
      <t xml:space="preserve">25g x 30</t>
    </r>
    <r>
      <rPr>
        <sz val="10"/>
        <rFont val="DejaVu Sans"/>
        <family val="2"/>
      </rPr>
      <t xml:space="preserve">봉</t>
    </r>
  </si>
  <si>
    <r>
      <rPr>
        <sz val="10"/>
        <rFont val="DejaVu Sans"/>
        <family val="2"/>
      </rPr>
      <t xml:space="preserve">건강한하루 하루견과 </t>
    </r>
    <r>
      <rPr>
        <sz val="10"/>
        <rFont val="맑은 고딕"/>
        <family val="0"/>
        <charset val="1"/>
      </rPr>
      <t xml:space="preserve">25g x 50</t>
    </r>
    <r>
      <rPr>
        <sz val="10"/>
        <rFont val="DejaVu Sans"/>
        <family val="2"/>
      </rPr>
      <t xml:space="preserve">봉</t>
    </r>
  </si>
  <si>
    <r>
      <rPr>
        <sz val="10"/>
        <rFont val="DejaVu Sans"/>
        <family val="2"/>
      </rPr>
      <t xml:space="preserve">건강한하루 허니버터 아몬드 </t>
    </r>
    <r>
      <rPr>
        <sz val="10"/>
        <rFont val="맑은 고딕"/>
        <family val="0"/>
        <charset val="1"/>
      </rPr>
      <t xml:space="preserve">200g</t>
    </r>
  </si>
  <si>
    <r>
      <rPr>
        <sz val="10"/>
        <rFont val="DejaVu Sans"/>
        <family val="2"/>
      </rPr>
      <t xml:space="preserve">건강한하루 와사비 아몬드 </t>
    </r>
    <r>
      <rPr>
        <sz val="10"/>
        <rFont val="맑은 고딕"/>
        <family val="0"/>
        <charset val="1"/>
      </rPr>
      <t xml:space="preserve">200g</t>
    </r>
  </si>
  <si>
    <r>
      <rPr>
        <sz val="10"/>
        <rFont val="DejaVu Sans"/>
        <family val="2"/>
      </rPr>
      <t xml:space="preserve">건강한하루 현미플레이크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</si>
  <si>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콘플레이크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</si>
  <si>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초코볼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</si>
  <si>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오트밀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</si>
  <si>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뮤즐리 </t>
    </r>
    <r>
      <rPr>
        <sz val="10"/>
        <rFont val="맑은 고딕"/>
        <family val="0"/>
        <charset val="1"/>
      </rPr>
      <t xml:space="preserve">500g</t>
    </r>
  </si>
  <si>
    <r>
      <rPr>
        <sz val="10"/>
        <rFont val="DejaVu Sans"/>
        <family val="2"/>
      </rPr>
      <t xml:space="preserve">건강한하루 현미플레이크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</si>
  <si>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콘플레이크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</si>
  <si>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초코볼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</si>
  <si>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오트밀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</si>
  <si>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뮤즐리 </t>
    </r>
    <r>
      <rPr>
        <sz val="10"/>
        <rFont val="맑은 고딕"/>
        <family val="0"/>
        <charset val="1"/>
      </rPr>
      <t xml:space="preserve">1kg</t>
    </r>
  </si>
  <si>
    <r>
      <rPr>
        <sz val="10"/>
        <rFont val="DejaVu Sans"/>
        <family val="2"/>
      </rPr>
      <t xml:space="preserve">건강한하루 오트밀 스틱 </t>
    </r>
    <r>
      <rPr>
        <sz val="10"/>
        <rFont val="맑은 고딕"/>
        <family val="0"/>
        <charset val="1"/>
      </rPr>
      <t xml:space="preserve">30g x 10</t>
    </r>
  </si>
  <si>
    <r>
      <rPr>
        <sz val="10"/>
        <rFont val="DejaVu Sans"/>
        <family val="2"/>
      </rPr>
      <t xml:space="preserve">건강한하루 오트밀 스틱 </t>
    </r>
    <r>
      <rPr>
        <sz val="10"/>
        <rFont val="맑은 고딕"/>
        <family val="0"/>
        <charset val="1"/>
      </rPr>
      <t xml:space="preserve">30g x 30</t>
    </r>
  </si>
  <si>
    <r>
      <rPr>
        <sz val="10"/>
        <rFont val="DejaVu Sans"/>
        <family val="2"/>
      </rPr>
      <t xml:space="preserve">건강한하루 그래놀라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프로틴바 </t>
    </r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</si>
  <si>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건강한하루 프리미엄 </t>
    </r>
    <r>
      <rPr>
        <sz val="10"/>
        <rFont val="맑은 고딕"/>
        <family val="0"/>
        <charset val="1"/>
      </rPr>
      <t xml:space="preserve">B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</si>
  <si>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건강한하루 스무디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잼 </t>
    </r>
    <r>
      <rPr>
        <sz val="10"/>
        <rFont val="맑은 고딕"/>
        <family val="0"/>
        <charset val="1"/>
      </rPr>
      <t xml:space="preserve">C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</si>
  <si>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건강한하루 견과류 </t>
    </r>
    <r>
      <rPr>
        <sz val="10"/>
        <rFont val="맑은 고딕"/>
        <family val="0"/>
        <charset val="1"/>
      </rPr>
      <t xml:space="preserve">D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</si>
  <si>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건강한하루 음료 모음 </t>
    </r>
    <r>
      <rPr>
        <sz val="10"/>
        <rFont val="맑은 고딕"/>
        <family val="0"/>
        <charset val="1"/>
      </rPr>
      <t xml:space="preserve">E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</si>
  <si>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건강한하루 올인원 </t>
    </r>
    <r>
      <rPr>
        <sz val="10"/>
        <rFont val="맑은 고딕"/>
        <family val="0"/>
        <charset val="1"/>
      </rPr>
      <t xml:space="preserve">F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</si>
  <si>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건강한하루 미니 체험 </t>
    </r>
    <r>
      <rPr>
        <sz val="10"/>
        <rFont val="맑은 고딕"/>
        <family val="0"/>
        <charset val="1"/>
      </rPr>
      <t xml:space="preserve">G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</si>
  <si>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건강한하루 명절 특대 </t>
    </r>
    <r>
      <rPr>
        <sz val="10"/>
        <rFont val="맑은 고딕"/>
        <family val="0"/>
        <charset val="1"/>
      </rPr>
      <t xml:space="preserve">H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</si>
  <si>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건강한하루 오피스 간식 </t>
    </r>
    <r>
      <rPr>
        <sz val="10"/>
        <rFont val="맑은 고딕"/>
        <family val="0"/>
        <charset val="1"/>
      </rPr>
      <t xml:space="preserve">I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</si>
  <si>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건강한하루 키즈 </t>
    </r>
    <r>
      <rPr>
        <sz val="10"/>
        <rFont val="맑은 고딕"/>
        <family val="0"/>
        <charset val="1"/>
      </rPr>
      <t xml:space="preserve">J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</si>
  <si>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건강한하루 다이어트 </t>
    </r>
    <r>
      <rPr>
        <sz val="10"/>
        <rFont val="맑은 고딕"/>
        <family val="0"/>
        <charset val="1"/>
      </rPr>
      <t xml:space="preserve">K</t>
    </r>
    <r>
      <rPr>
        <sz val="10"/>
        <rFont val="DejaVu Sans"/>
        <family val="2"/>
      </rPr>
      <t xml:space="preserve">세트</t>
    </r>
  </si>
  <si>
    <r>
      <rPr>
        <sz val="10"/>
        <rFont val="DejaVu Sans"/>
        <family val="2"/>
      </rPr>
      <t xml:space="preserve">건강한하루 커플 </t>
    </r>
    <r>
      <rPr>
        <sz val="10"/>
        <rFont val="맑은 고딕"/>
        <family val="0"/>
        <charset val="1"/>
      </rPr>
      <t xml:space="preserve">L</t>
    </r>
    <r>
      <rPr>
        <sz val="10"/>
        <rFont val="DejaVu Sans"/>
        <family val="2"/>
      </rPr>
      <t xml:space="preserve">세트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</si>
</sst>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DejaVu Sans"/>
      <family val="2"/>
    </font>
    <font>
      <b val="true"/>
      <sz val="14"/>
      <color rgb="FF4472C4"/>
      <name val="맑은 고딕"/>
      <family val="0"/>
      <charset val="1"/>
    </font>
    <font>
      <b val="true"/>
      <sz val="14"/>
      <color rgb="FF4472C4"/>
      <name val="DejaVu Sans"/>
      <family val="2"/>
    </font>
    <font>
      <sz val="11"/>
      <color rgb="FF808080"/>
      <name val="DejaVu Sans"/>
      <family val="2"/>
    </font>
    <font>
      <sz val="11"/>
      <color rgb="FF808080"/>
      <name val="맑은 고딕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7E6E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13" min="4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tr">
        <f aca="false">IFERROR(VLOOKUP(A2,상품마스터!A:D,4,FALSE()),"")</f>
        <v>콜드브루 블랙 6팩</v>
      </c>
      <c r="C2" s="0" t="str">
        <f aca="false">IFERROR(VLOOKUP(A2,상품마스터!A:C,3,FALSE()),"")</f>
        <v>음료</v>
      </c>
      <c r="D2" s="0" t="n">
        <f aca="false">IFERROR(VLOOKUP(A2,스마트스토어!B:I,8,FALSE()),"")</f>
        <v>254</v>
      </c>
      <c r="E2" s="0" t="n">
        <f aca="false">IFERROR(VLOOKUP(A2,스마트스토어!B:J,9,FALSE()),"")</f>
        <v>3999738</v>
      </c>
      <c r="F2" s="0" t="n">
        <f aca="false">IFERROR(VLOOKUP(A2,쿠팡!B:J,9,FALSE()),"")</f>
        <v>406</v>
      </c>
      <c r="G2" s="0" t="n">
        <f aca="false">IFERROR(VLOOKUP(A2,쿠팡!B:K,10,FALSE()),"")</f>
        <v>5124532</v>
      </c>
      <c r="H2" s="0" t="str">
        <f aca="false">IFERROR(VLOOKUP(A2,카카오선물하기!B:I,8,FALSE()),"")</f>
        <v/>
      </c>
      <c r="I2" s="0" t="str">
        <f aca="false">IFERROR(VLOOKUP(A2,카카오선물하기!B:J,9,FALSE()),"")</f>
        <v/>
      </c>
      <c r="J2" s="0" t="n">
        <f aca="false">IFERROR(VLOOKUP(A2,자사몰!A:F,6,FALSE()),"")</f>
        <v>150</v>
      </c>
      <c r="K2" s="0" t="n">
        <f aca="false">IFERROR(VLOOKUP(A2,자사몰!A:G,7,FALSE()),"")</f>
        <v>2025000</v>
      </c>
      <c r="L2" s="0" t="n">
        <f aca="false">IFERROR(SUM(D2,F2,H2,J2),"")</f>
        <v>810</v>
      </c>
      <c r="M2" s="0" t="n">
        <f aca="false">IFERROR(SUM(E2,G2,I2,K2),"")</f>
        <v>11149270</v>
      </c>
    </row>
    <row r="3" customFormat="false" ht="15" hidden="false" customHeight="false" outlineLevel="0" collapsed="false">
      <c r="A3" s="0" t="s">
        <v>14</v>
      </c>
      <c r="B3" s="0" t="str">
        <f aca="false">IFERROR(VLOOKUP(A3,상품마스터!A:D,4,FALSE()),"")</f>
        <v>콜드브루 라떼 6팩</v>
      </c>
      <c r="C3" s="0" t="str">
        <f aca="false">IFERROR(VLOOKUP(A3,상품마스터!A:C,3,FALSE()),"")</f>
        <v>음료</v>
      </c>
      <c r="D3" s="0" t="str">
        <f aca="false">IFERROR(VLOOKUP(A3,스마트스토어!B:I,8,FALSE()),"")</f>
        <v/>
      </c>
      <c r="E3" s="0" t="str">
        <f aca="false">IFERROR(VLOOKUP(A3,스마트스토어!B:J,9,FALSE()),"")</f>
        <v/>
      </c>
      <c r="F3" s="0" t="n">
        <f aca="false">IFERROR(VLOOKUP(A3,쿠팡!B:J,9,FALSE()),"")</f>
        <v>67</v>
      </c>
      <c r="G3" s="0" t="n">
        <f aca="false">IFERROR(VLOOKUP(A3,쿠팡!B:K,10,FALSE()),"")</f>
        <v>942422</v>
      </c>
      <c r="H3" s="0" t="n">
        <f aca="false">IFERROR(VLOOKUP(A3,카카오선물하기!B:I,8,FALSE()),"")</f>
        <v>17</v>
      </c>
      <c r="I3" s="0" t="n">
        <f aca="false">IFERROR(VLOOKUP(A3,카카오선물하기!B:J,9,FALSE()),"")</f>
        <v>270708</v>
      </c>
      <c r="J3" s="0" t="n">
        <f aca="false">IFERROR(VLOOKUP(A3,자사몰!A:F,6,FALSE()),"")</f>
        <v>65</v>
      </c>
      <c r="K3" s="0" t="n">
        <f aca="false">IFERROR(VLOOKUP(A3,자사몰!A:G,7,FALSE()),"")</f>
        <v>988000</v>
      </c>
      <c r="L3" s="0" t="n">
        <f aca="false">IFERROR(SUM(D3,F3,H3,J3),"")</f>
        <v>149</v>
      </c>
      <c r="M3" s="0" t="n">
        <f aca="false">IFERROR(SUM(E3,G3,I3,K3),"")</f>
        <v>2201130</v>
      </c>
    </row>
    <row r="4" customFormat="false" ht="15" hidden="false" customHeight="false" outlineLevel="0" collapsed="false">
      <c r="A4" s="0" t="s">
        <v>15</v>
      </c>
      <c r="B4" s="0" t="str">
        <f aca="false">IFERROR(VLOOKUP(A4,상품마스터!A:D,4,FALSE()),"")</f>
        <v>콤부차 레몬 6팩</v>
      </c>
      <c r="C4" s="0" t="str">
        <f aca="false">IFERROR(VLOOKUP(A4,상품마스터!A:C,3,FALSE()),"")</f>
        <v>음료</v>
      </c>
      <c r="D4" s="0" t="str">
        <f aca="false">IFERROR(VLOOKUP(A4,스마트스토어!B:I,8,FALSE()),"")</f>
        <v/>
      </c>
      <c r="E4" s="0" t="str">
        <f aca="false">IFERROR(VLOOKUP(A4,스마트스토어!B:J,9,FALSE()),"")</f>
        <v/>
      </c>
      <c r="F4" s="0" t="n">
        <f aca="false">IFERROR(VLOOKUP(A4,쿠팡!B:J,9,FALSE()),"")</f>
        <v>185</v>
      </c>
      <c r="G4" s="0" t="n">
        <f aca="false">IFERROR(VLOOKUP(A4,쿠팡!B:K,10,FALSE()),"")</f>
        <v>3179595</v>
      </c>
      <c r="H4" s="0" t="str">
        <f aca="false">IFERROR(VLOOKUP(A4,카카오선물하기!B:I,8,FALSE()),"")</f>
        <v/>
      </c>
      <c r="I4" s="0" t="str">
        <f aca="false">IFERROR(VLOOKUP(A4,카카오선물하기!B:J,9,FALSE()),"")</f>
        <v/>
      </c>
      <c r="J4" s="0" t="n">
        <f aca="false">IFERROR(VLOOKUP(A4,자사몰!A:F,6,FALSE()),"")</f>
        <v>99</v>
      </c>
      <c r="K4" s="0" t="n">
        <f aca="false">IFERROR(VLOOKUP(A4,자사몰!A:G,7,FALSE()),"")</f>
        <v>1639440</v>
      </c>
      <c r="L4" s="0" t="n">
        <f aca="false">IFERROR(SUM(D4,F4,H4,J4),"")</f>
        <v>284</v>
      </c>
      <c r="M4" s="0" t="n">
        <f aca="false">IFERROR(SUM(E4,G4,I4,K4),"")</f>
        <v>4819035</v>
      </c>
    </row>
    <row r="5" customFormat="false" ht="15" hidden="false" customHeight="false" outlineLevel="0" collapsed="false">
      <c r="A5" s="0" t="s">
        <v>16</v>
      </c>
      <c r="B5" s="0" t="str">
        <f aca="false">IFERROR(VLOOKUP(A5,상품마스터!A:D,4,FALSE()),"")</f>
        <v>콤부차 베리 6팩</v>
      </c>
      <c r="C5" s="0" t="str">
        <f aca="false">IFERROR(VLOOKUP(A5,상품마스터!A:C,3,FALSE()),"")</f>
        <v>음료</v>
      </c>
      <c r="D5" s="0" t="n">
        <f aca="false">IFERROR(VLOOKUP(A5,스마트스토어!B:I,8,FALSE()),"")</f>
        <v>391</v>
      </c>
      <c r="E5" s="0" t="n">
        <f aca="false">IFERROR(VLOOKUP(A5,스마트스토어!B:J,9,FALSE()),"")</f>
        <v>6383466</v>
      </c>
      <c r="F5" s="0" t="n">
        <f aca="false">IFERROR(VLOOKUP(A5,쿠팡!B:J,9,FALSE()),"")</f>
        <v>232</v>
      </c>
      <c r="G5" s="0" t="n">
        <f aca="false">IFERROR(VLOOKUP(A5,쿠팡!B:K,10,FALSE()),"")</f>
        <v>4137024</v>
      </c>
      <c r="H5" s="0" t="str">
        <f aca="false">IFERROR(VLOOKUP(A5,카카오선물하기!B:I,8,FALSE()),"")</f>
        <v/>
      </c>
      <c r="I5" s="0" t="str">
        <f aca="false">IFERROR(VLOOKUP(A5,카카오선물하기!B:J,9,FALSE()),"")</f>
        <v/>
      </c>
      <c r="J5" s="0" t="n">
        <f aca="false">IFERROR(VLOOKUP(A5,자사몰!A:F,6,FALSE()),"")</f>
        <v>82</v>
      </c>
      <c r="K5" s="0" t="n">
        <f aca="false">IFERROR(VLOOKUP(A5,자사몰!A:G,7,FALSE()),"")</f>
        <v>1254600</v>
      </c>
      <c r="L5" s="0" t="n">
        <f aca="false">IFERROR(SUM(D5,F5,H5,J5),"")</f>
        <v>705</v>
      </c>
      <c r="M5" s="0" t="n">
        <f aca="false">IFERROR(SUM(E5,G5,I5,K5),"")</f>
        <v>11775090</v>
      </c>
    </row>
    <row r="6" customFormat="false" ht="15" hidden="false" customHeight="false" outlineLevel="0" collapsed="false">
      <c r="A6" s="0" t="s">
        <v>17</v>
      </c>
      <c r="B6" s="0" t="str">
        <f aca="false">IFERROR(VLOOKUP(A6,상품마스터!A:D,4,FALSE()),"")</f>
        <v>콜드브루 블랙 12팩</v>
      </c>
      <c r="C6" s="0" t="str">
        <f aca="false">IFERROR(VLOOKUP(A6,상품마스터!A:C,3,FALSE()),"")</f>
        <v>음료</v>
      </c>
      <c r="D6" s="0" t="str">
        <f aca="false">IFERROR(VLOOKUP(A6,스마트스토어!B:I,8,FALSE()),"")</f>
        <v/>
      </c>
      <c r="E6" s="0" t="str">
        <f aca="false">IFERROR(VLOOKUP(A6,스마트스토어!B:J,9,FALSE()),"")</f>
        <v/>
      </c>
      <c r="F6" s="0" t="str">
        <f aca="false">IFERROR(VLOOKUP(A6,쿠팡!B:J,9,FALSE()),"")</f>
        <v/>
      </c>
      <c r="G6" s="0" t="str">
        <f aca="false">IFERROR(VLOOKUP(A6,쿠팡!B:K,10,FALSE()),"")</f>
        <v/>
      </c>
      <c r="H6" s="0" t="n">
        <f aca="false">IFERROR(VLOOKUP(A6,카카오선물하기!B:I,8,FALSE()),"")</f>
        <v>186</v>
      </c>
      <c r="I6" s="0" t="n">
        <f aca="false">IFERROR(VLOOKUP(A6,카카오선물하기!B:J,9,FALSE()),"")</f>
        <v>5694762</v>
      </c>
      <c r="J6" s="0" t="n">
        <f aca="false">IFERROR(VLOOKUP(A6,자사몰!A:F,6,FALSE()),"")</f>
        <v>140</v>
      </c>
      <c r="K6" s="0" t="n">
        <f aca="false">IFERROR(VLOOKUP(A6,자사몰!A:G,7,FALSE()),"")</f>
        <v>3326400</v>
      </c>
      <c r="L6" s="0" t="n">
        <f aca="false">IFERROR(SUM(D6,F6,H6,J6),"")</f>
        <v>326</v>
      </c>
      <c r="M6" s="0" t="n">
        <f aca="false">IFERROR(SUM(E6,G6,I6,K6),"")</f>
        <v>9021162</v>
      </c>
    </row>
    <row r="7" customFormat="false" ht="15" hidden="false" customHeight="false" outlineLevel="0" collapsed="false">
      <c r="A7" s="0" t="s">
        <v>18</v>
      </c>
      <c r="B7" s="0" t="str">
        <f aca="false">IFERROR(VLOOKUP(A7,상품마스터!A:D,4,FALSE()),"")</f>
        <v>콜드브루 라떼 12팩</v>
      </c>
      <c r="C7" s="0" t="str">
        <f aca="false">IFERROR(VLOOKUP(A7,상품마스터!A:C,3,FALSE()),"")</f>
        <v>음료</v>
      </c>
      <c r="D7" s="0" t="n">
        <f aca="false">IFERROR(VLOOKUP(A7,스마트스토어!B:I,8,FALSE()),"")</f>
        <v>271</v>
      </c>
      <c r="E7" s="0" t="n">
        <f aca="false">IFERROR(VLOOKUP(A7,스마트스토어!B:J,9,FALSE()),"")</f>
        <v>7968755</v>
      </c>
      <c r="F7" s="0" t="n">
        <f aca="false">IFERROR(VLOOKUP(A7,쿠팡!B:J,9,FALSE()),"")</f>
        <v>271</v>
      </c>
      <c r="G7" s="0" t="n">
        <f aca="false">IFERROR(VLOOKUP(A7,쿠팡!B:K,10,FALSE()),"")</f>
        <v>6974998</v>
      </c>
      <c r="H7" s="0" t="n">
        <f aca="false">IFERROR(VLOOKUP(A7,카카오선물하기!B:I,8,FALSE()),"")</f>
        <v>199</v>
      </c>
      <c r="I7" s="0" t="n">
        <f aca="false">IFERROR(VLOOKUP(A7,카카오선물하기!B:J,9,FALSE()),"")</f>
        <v>5646227</v>
      </c>
      <c r="J7" s="0" t="n">
        <f aca="false">IFERROR(VLOOKUP(A7,자사몰!A:F,6,FALSE()),"")</f>
        <v>129</v>
      </c>
      <c r="K7" s="0" t="n">
        <f aca="false">IFERROR(VLOOKUP(A7,자사몰!A:G,7,FALSE()),"")</f>
        <v>3366900</v>
      </c>
      <c r="L7" s="0" t="n">
        <f aca="false">IFERROR(SUM(D7,F7,H7,J7),"")</f>
        <v>870</v>
      </c>
      <c r="M7" s="0" t="n">
        <f aca="false">IFERROR(SUM(E7,G7,I7,K7),"")</f>
        <v>23956880</v>
      </c>
    </row>
    <row r="8" customFormat="false" ht="15" hidden="false" customHeight="false" outlineLevel="0" collapsed="false">
      <c r="A8" s="0" t="s">
        <v>19</v>
      </c>
      <c r="B8" s="0" t="str">
        <f aca="false">IFERROR(VLOOKUP(A8,상품마스터!A:D,4,FALSE()),"")</f>
        <v>콤부차 레몬 12팩</v>
      </c>
      <c r="C8" s="0" t="str">
        <f aca="false">IFERROR(VLOOKUP(A8,상품마스터!A:C,3,FALSE()),"")</f>
        <v>음료</v>
      </c>
      <c r="D8" s="0" t="n">
        <f aca="false">IFERROR(VLOOKUP(A8,스마트스토어!B:I,8,FALSE()),"")</f>
        <v>363</v>
      </c>
      <c r="E8" s="0" t="n">
        <f aca="false">IFERROR(VLOOKUP(A8,스마트스토어!B:J,9,FALSE()),"")</f>
        <v>11869011</v>
      </c>
      <c r="F8" s="0" t="n">
        <f aca="false">IFERROR(VLOOKUP(A8,쿠팡!B:J,9,FALSE()),"")</f>
        <v>98</v>
      </c>
      <c r="G8" s="0" t="n">
        <f aca="false">IFERROR(VLOOKUP(A8,쿠팡!B:K,10,FALSE()),"")</f>
        <v>2869048</v>
      </c>
      <c r="H8" s="0" t="n">
        <f aca="false">IFERROR(VLOOKUP(A8,카카오선물하기!B:I,8,FALSE()),"")</f>
        <v>67</v>
      </c>
      <c r="I8" s="0" t="n">
        <f aca="false">IFERROR(VLOOKUP(A8,카카오선물하기!B:J,9,FALSE()),"")</f>
        <v>2161219</v>
      </c>
      <c r="J8" s="0" t="n">
        <f aca="false">IFERROR(VLOOKUP(A8,자사몰!A:F,6,FALSE()),"")</f>
        <v>18</v>
      </c>
      <c r="K8" s="0" t="n">
        <f aca="false">IFERROR(VLOOKUP(A8,자사몰!A:G,7,FALSE()),"")</f>
        <v>506880</v>
      </c>
      <c r="L8" s="0" t="n">
        <f aca="false">IFERROR(SUM(D8,F8,H8,J8),"")</f>
        <v>546</v>
      </c>
      <c r="M8" s="0" t="n">
        <f aca="false">IFERROR(SUM(E8,G8,I8,K8),"")</f>
        <v>17406158</v>
      </c>
    </row>
    <row r="9" customFormat="false" ht="15" hidden="false" customHeight="false" outlineLevel="0" collapsed="false">
      <c r="A9" s="0" t="s">
        <v>20</v>
      </c>
      <c r="B9" s="0" t="str">
        <f aca="false">IFERROR(VLOOKUP(A9,상품마스터!A:D,4,FALSE()),"")</f>
        <v>콤부차 베리 12팩</v>
      </c>
      <c r="C9" s="0" t="str">
        <f aca="false">IFERROR(VLOOKUP(A9,상품마스터!A:C,3,FALSE()),"")</f>
        <v>음료</v>
      </c>
      <c r="D9" s="0" t="str">
        <f aca="false">IFERROR(VLOOKUP(A9,스마트스토어!B:I,8,FALSE()),"")</f>
        <v/>
      </c>
      <c r="E9" s="0" t="str">
        <f aca="false">IFERROR(VLOOKUP(A9,스마트스토어!B:J,9,FALSE()),"")</f>
        <v/>
      </c>
      <c r="F9" s="0" t="n">
        <f aca="false">IFERROR(VLOOKUP(A9,쿠팡!B:J,9,FALSE()),"")</f>
        <v>556</v>
      </c>
      <c r="G9" s="0" t="n">
        <f aca="false">IFERROR(VLOOKUP(A9,쿠팡!B:K,10,FALSE()),"")</f>
        <v>17005260</v>
      </c>
      <c r="H9" s="0" t="str">
        <f aca="false">IFERROR(VLOOKUP(A9,카카오선물하기!B:I,8,FALSE()),"")</f>
        <v/>
      </c>
      <c r="I9" s="0" t="str">
        <f aca="false">IFERROR(VLOOKUP(A9,카카오선물하기!B:J,9,FALSE()),"")</f>
        <v/>
      </c>
      <c r="J9" s="0" t="n">
        <f aca="false">IFERROR(VLOOKUP(A9,자사몰!A:F,6,FALSE()),"")</f>
        <v>52</v>
      </c>
      <c r="K9" s="0" t="n">
        <f aca="false">IFERROR(VLOOKUP(A9,자사몰!A:G,7,FALSE()),"")</f>
        <v>1530880</v>
      </c>
      <c r="L9" s="0" t="n">
        <f aca="false">IFERROR(SUM(D9,F9,H9,J9),"")</f>
        <v>608</v>
      </c>
      <c r="M9" s="0" t="n">
        <f aca="false">IFERROR(SUM(E9,G9,I9,K9),"")</f>
        <v>18536140</v>
      </c>
    </row>
    <row r="10" customFormat="false" ht="15" hidden="false" customHeight="false" outlineLevel="0" collapsed="false">
      <c r="A10" s="0" t="s">
        <v>21</v>
      </c>
      <c r="B10" s="0" t="str">
        <f aca="false">IFERROR(VLOOKUP(A10,상품마스터!A:D,4,FALSE()),"")</f>
        <v>오트밀크 190ml x 6</v>
      </c>
      <c r="C10" s="0" t="str">
        <f aca="false">IFERROR(VLOOKUP(A10,상품마스터!A:C,3,FALSE()),"")</f>
        <v>음료</v>
      </c>
      <c r="D10" s="0" t="n">
        <f aca="false">IFERROR(VLOOKUP(A10,스마트스토어!B:I,8,FALSE()),"")</f>
        <v>30</v>
      </c>
      <c r="E10" s="0" t="n">
        <f aca="false">IFERROR(VLOOKUP(A10,스마트스토어!B:J,9,FALSE()),"")</f>
        <v>326880</v>
      </c>
      <c r="F10" s="0" t="n">
        <f aca="false">IFERROR(VLOOKUP(A10,쿠팡!B:J,9,FALSE()),"")</f>
        <v>523</v>
      </c>
      <c r="G10" s="0" t="n">
        <f aca="false">IFERROR(VLOOKUP(A10,쿠팡!B:K,10,FALSE()),"")</f>
        <v>6036989</v>
      </c>
      <c r="H10" s="0" t="str">
        <f aca="false">IFERROR(VLOOKUP(A10,카카오선물하기!B:I,8,FALSE()),"")</f>
        <v/>
      </c>
      <c r="I10" s="0" t="str">
        <f aca="false">IFERROR(VLOOKUP(A10,카카오선물하기!B:J,9,FALSE()),"")</f>
        <v/>
      </c>
      <c r="J10" s="0" t="n">
        <f aca="false">IFERROR(VLOOKUP(A10,자사몰!A:F,6,FALSE()),"")</f>
        <v>142</v>
      </c>
      <c r="K10" s="0" t="n">
        <f aca="false">IFERROR(VLOOKUP(A10,자사몰!A:G,7,FALSE()),"")</f>
        <v>1533600</v>
      </c>
      <c r="L10" s="0" t="n">
        <f aca="false">IFERROR(SUM(D10,F10,H10,J10),"")</f>
        <v>695</v>
      </c>
      <c r="M10" s="0" t="n">
        <f aca="false">IFERROR(SUM(E10,G10,I10,K10),"")</f>
        <v>7897469</v>
      </c>
    </row>
    <row r="11" customFormat="false" ht="15" hidden="false" customHeight="false" outlineLevel="0" collapsed="false">
      <c r="A11" s="0" t="s">
        <v>22</v>
      </c>
      <c r="B11" s="0" t="str">
        <f aca="false">IFERROR(VLOOKUP(A11,상품마스터!A:D,4,FALSE()),"")</f>
        <v>오트밀크 190ml x 12</v>
      </c>
      <c r="C11" s="0" t="str">
        <f aca="false">IFERROR(VLOOKUP(A11,상품마스터!A:C,3,FALSE()),"")</f>
        <v>음료</v>
      </c>
      <c r="D11" s="0" t="n">
        <f aca="false">IFERROR(VLOOKUP(A11,스마트스토어!B:I,8,FALSE()),"")</f>
        <v>345</v>
      </c>
      <c r="E11" s="0" t="n">
        <f aca="false">IFERROR(VLOOKUP(A11,스마트스토어!B:J,9,FALSE()),"")</f>
        <v>6603990</v>
      </c>
      <c r="F11" s="0" t="n">
        <f aca="false">IFERROR(VLOOKUP(A11,쿠팡!B:J,9,FALSE()),"")</f>
        <v>308</v>
      </c>
      <c r="G11" s="0" t="n">
        <f aca="false">IFERROR(VLOOKUP(A11,쿠팡!B:K,10,FALSE()),"")</f>
        <v>6519436</v>
      </c>
      <c r="H11" s="0" t="n">
        <f aca="false">IFERROR(VLOOKUP(A11,카카오선물하기!B:I,8,FALSE()),"")</f>
        <v>35</v>
      </c>
      <c r="I11" s="0" t="n">
        <f aca="false">IFERROR(VLOOKUP(A11,카카오선물하기!B:J,9,FALSE()),"")</f>
        <v>812630</v>
      </c>
      <c r="J11" s="0" t="n">
        <f aca="false">IFERROR(VLOOKUP(A11,자사몰!A:F,6,FALSE()),"")</f>
        <v>62</v>
      </c>
      <c r="K11" s="0" t="n">
        <f aca="false">IFERROR(VLOOKUP(A11,자사몰!A:G,7,FALSE()),"")</f>
        <v>1200320</v>
      </c>
      <c r="L11" s="0" t="n">
        <f aca="false">IFERROR(SUM(D11,F11,H11,J11),"")</f>
        <v>750</v>
      </c>
      <c r="M11" s="0" t="n">
        <f aca="false">IFERROR(SUM(E11,G11,I11,K11),"")</f>
        <v>15136376</v>
      </c>
    </row>
    <row r="12" customFormat="false" ht="15" hidden="false" customHeight="false" outlineLevel="0" collapsed="false">
      <c r="A12" s="0" t="s">
        <v>23</v>
      </c>
      <c r="B12" s="0" t="str">
        <f aca="false">IFERROR(VLOOKUP(A12,상품마스터!A:D,4,FALSE()),"")</f>
        <v>프로틴워터 500ml x 6</v>
      </c>
      <c r="C12" s="0" t="str">
        <f aca="false">IFERROR(VLOOKUP(A12,상품마스터!A:C,3,FALSE()),"")</f>
        <v>음료</v>
      </c>
      <c r="D12" s="0" t="n">
        <f aca="false">IFERROR(VLOOKUP(A12,스마트스토어!B:I,8,FALSE()),"")</f>
        <v>250</v>
      </c>
      <c r="E12" s="0" t="n">
        <f aca="false">IFERROR(VLOOKUP(A12,스마트스토어!B:J,9,FALSE()),"")</f>
        <v>3683500</v>
      </c>
      <c r="F12" s="0" t="n">
        <f aca="false">IFERROR(VLOOKUP(A12,쿠팡!B:J,9,FALSE()),"")</f>
        <v>146</v>
      </c>
      <c r="G12" s="0" t="n">
        <f aca="false">IFERROR(VLOOKUP(A12,쿠팡!B:K,10,FALSE()),"")</f>
        <v>1951582</v>
      </c>
      <c r="H12" s="0" t="str">
        <f aca="false">IFERROR(VLOOKUP(A12,카카오선물하기!B:I,8,FALSE()),"")</f>
        <v/>
      </c>
      <c r="I12" s="0" t="str">
        <f aca="false">IFERROR(VLOOKUP(A12,카카오선물하기!B:J,9,FALSE()),"")</f>
        <v/>
      </c>
      <c r="J12" s="0" t="n">
        <f aca="false">IFERROR(VLOOKUP(A12,자사몰!A:F,6,FALSE()),"")</f>
        <v>84</v>
      </c>
      <c r="K12" s="0" t="n">
        <f aca="false">IFERROR(VLOOKUP(A12,자사몰!A:G,7,FALSE()),"")</f>
        <v>1058400</v>
      </c>
      <c r="L12" s="0" t="n">
        <f aca="false">IFERROR(SUM(D12,F12,H12,J12),"")</f>
        <v>480</v>
      </c>
      <c r="M12" s="0" t="n">
        <f aca="false">IFERROR(SUM(E12,G12,I12,K12),"")</f>
        <v>6693482</v>
      </c>
    </row>
    <row r="13" customFormat="false" ht="15" hidden="false" customHeight="false" outlineLevel="0" collapsed="false">
      <c r="A13" s="0" t="s">
        <v>24</v>
      </c>
      <c r="B13" s="0" t="str">
        <f aca="false">IFERROR(VLOOKUP(A13,상품마스터!A:D,4,FALSE()),"")</f>
        <v>프로틴워터 500ml x 12</v>
      </c>
      <c r="C13" s="0" t="str">
        <f aca="false">IFERROR(VLOOKUP(A13,상품마스터!A:C,3,FALSE()),"")</f>
        <v>음료</v>
      </c>
      <c r="D13" s="0" t="n">
        <f aca="false">IFERROR(VLOOKUP(A13,스마트스토어!B:I,8,FALSE()),"")</f>
        <v>205</v>
      </c>
      <c r="E13" s="0" t="n">
        <f aca="false">IFERROR(VLOOKUP(A13,스마트스토어!B:J,9,FALSE()),"")</f>
        <v>5146525</v>
      </c>
      <c r="F13" s="0" t="n">
        <f aca="false">IFERROR(VLOOKUP(A13,쿠팡!B:J,9,FALSE()),"")</f>
        <v>27</v>
      </c>
      <c r="G13" s="0" t="n">
        <f aca="false">IFERROR(VLOOKUP(A13,쿠팡!B:K,10,FALSE()),"")</f>
        <v>627615</v>
      </c>
      <c r="H13" s="0" t="n">
        <f aca="false">IFERROR(VLOOKUP(A13,카카오선물하기!B:I,8,FALSE()),"")</f>
        <v>115</v>
      </c>
      <c r="I13" s="0" t="n">
        <f aca="false">IFERROR(VLOOKUP(A13,카카오선물하기!B:J,9,FALSE()),"")</f>
        <v>2986780</v>
      </c>
      <c r="J13" s="0" t="n">
        <f aca="false">IFERROR(VLOOKUP(A13,자사몰!A:F,6,FALSE()),"")</f>
        <v>16</v>
      </c>
      <c r="K13" s="0" t="n">
        <f aca="false">IFERROR(VLOOKUP(A13,자사몰!A:G,7,FALSE()),"")</f>
        <v>352000</v>
      </c>
      <c r="L13" s="0" t="n">
        <f aca="false">IFERROR(SUM(D13,F13,H13,J13),"")</f>
        <v>363</v>
      </c>
      <c r="M13" s="0" t="n">
        <f aca="false">IFERROR(SUM(E13,G13,I13,K13),"")</f>
        <v>9112920</v>
      </c>
    </row>
    <row r="14" customFormat="false" ht="15" hidden="false" customHeight="false" outlineLevel="0" collapsed="false">
      <c r="A14" s="0" t="s">
        <v>25</v>
      </c>
      <c r="B14" s="0" t="str">
        <f aca="false">IFERROR(VLOOKUP(A14,상품마스터!A:D,4,FALSE()),"")</f>
        <v>현미플레이크 500g</v>
      </c>
      <c r="C14" s="0" t="str">
        <f aca="false">IFERROR(VLOOKUP(A14,상품마스터!A:C,3,FALSE()),"")</f>
        <v>시리얼</v>
      </c>
      <c r="D14" s="0" t="n">
        <f aca="false">IFERROR(VLOOKUP(A14,스마트스토어!B:I,8,FALSE()),"")</f>
        <v>271</v>
      </c>
      <c r="E14" s="0" t="n">
        <f aca="false">IFERROR(VLOOKUP(A14,스마트스토어!B:J,9,FALSE()),"")</f>
        <v>2081009</v>
      </c>
      <c r="F14" s="0" t="n">
        <f aca="false">IFERROR(VLOOKUP(A14,쿠팡!B:J,9,FALSE()),"")</f>
        <v>455</v>
      </c>
      <c r="G14" s="0" t="n">
        <f aca="false">IFERROR(VLOOKUP(A14,쿠팡!B:K,10,FALSE()),"")</f>
        <v>2896075</v>
      </c>
      <c r="H14" s="0" t="str">
        <f aca="false">IFERROR(VLOOKUP(A14,카카오선물하기!B:I,8,FALSE()),"")</f>
        <v/>
      </c>
      <c r="I14" s="0" t="str">
        <f aca="false">IFERROR(VLOOKUP(A14,카카오선물하기!B:J,9,FALSE()),"")</f>
        <v/>
      </c>
      <c r="J14" s="0" t="n">
        <f aca="false">IFERROR(VLOOKUP(A14,자사몰!A:F,6,FALSE()),"")</f>
        <v>105</v>
      </c>
      <c r="K14" s="0" t="n">
        <f aca="false">IFERROR(VLOOKUP(A14,자사몰!A:G,7,FALSE()),"")</f>
        <v>748125</v>
      </c>
      <c r="L14" s="0" t="n">
        <f aca="false">IFERROR(SUM(D14,F14,H14,J14),"")</f>
        <v>831</v>
      </c>
      <c r="M14" s="0" t="n">
        <f aca="false">IFERROR(SUM(E14,G14,I14,K14),"")</f>
        <v>5725209</v>
      </c>
    </row>
    <row r="15" customFormat="false" ht="15" hidden="false" customHeight="false" outlineLevel="0" collapsed="false">
      <c r="A15" s="0" t="s">
        <v>26</v>
      </c>
      <c r="B15" s="0" t="str">
        <f aca="false">IFERROR(VLOOKUP(A15,상품마스터!A:D,4,FALSE()),"")</f>
        <v>콘플레이크 500g</v>
      </c>
      <c r="C15" s="0" t="str">
        <f aca="false">IFERROR(VLOOKUP(A15,상품마스터!A:C,3,FALSE()),"")</f>
        <v>시리얼</v>
      </c>
      <c r="D15" s="0" t="n">
        <f aca="false">IFERROR(VLOOKUP(A15,스마트스토어!B:I,8,FALSE()),"")</f>
        <v>274</v>
      </c>
      <c r="E15" s="0" t="n">
        <f aca="false">IFERROR(VLOOKUP(A15,스마트스토어!B:J,9,FALSE()),"")</f>
        <v>1543168</v>
      </c>
      <c r="F15" s="0" t="n">
        <f aca="false">IFERROR(VLOOKUP(A15,쿠팡!B:J,9,FALSE()),"")</f>
        <v>174</v>
      </c>
      <c r="G15" s="0" t="n">
        <f aca="false">IFERROR(VLOOKUP(A15,쿠팡!B:K,10,FALSE()),"")</f>
        <v>1118472</v>
      </c>
      <c r="H15" s="0" t="str">
        <f aca="false">IFERROR(VLOOKUP(A15,카카오선물하기!B:I,8,FALSE()),"")</f>
        <v/>
      </c>
      <c r="I15" s="0" t="str">
        <f aca="false">IFERROR(VLOOKUP(A15,카카오선물하기!B:J,9,FALSE()),"")</f>
        <v/>
      </c>
      <c r="J15" s="0" t="n">
        <f aca="false">IFERROR(VLOOKUP(A15,자사몰!A:F,6,FALSE()),"")</f>
        <v>149</v>
      </c>
      <c r="K15" s="0" t="n">
        <f aca="false">IFERROR(VLOOKUP(A15,자사몰!A:G,7,FALSE()),"")</f>
        <v>852280</v>
      </c>
      <c r="L15" s="0" t="n">
        <f aca="false">IFERROR(SUM(D15,F15,H15,J15),"")</f>
        <v>597</v>
      </c>
      <c r="M15" s="0" t="n">
        <f aca="false">IFERROR(SUM(E15,G15,I15,K15),"")</f>
        <v>3513920</v>
      </c>
    </row>
    <row r="16" customFormat="false" ht="15" hidden="false" customHeight="false" outlineLevel="0" collapsed="false">
      <c r="A16" s="0" t="s">
        <v>27</v>
      </c>
      <c r="B16" s="0" t="str">
        <f aca="false">IFERROR(VLOOKUP(A16,상품마스터!A:D,4,FALSE()),"")</f>
        <v>초코볼 500g</v>
      </c>
      <c r="C16" s="0" t="str">
        <f aca="false">IFERROR(VLOOKUP(A16,상품마스터!A:C,3,FALSE()),"")</f>
        <v>시리얼</v>
      </c>
      <c r="D16" s="0" t="n">
        <f aca="false">IFERROR(VLOOKUP(A16,스마트스토어!B:I,8,FALSE()),"")</f>
        <v>188</v>
      </c>
      <c r="E16" s="0" t="n">
        <f aca="false">IFERROR(VLOOKUP(A16,스마트스토어!B:J,9,FALSE()),"")</f>
        <v>1449480</v>
      </c>
      <c r="F16" s="0" t="n">
        <f aca="false">IFERROR(VLOOKUP(A16,쿠팡!B:J,9,FALSE()),"")</f>
        <v>519</v>
      </c>
      <c r="G16" s="0" t="n">
        <f aca="false">IFERROR(VLOOKUP(A16,쿠팡!B:K,10,FALSE()),"")</f>
        <v>4100100</v>
      </c>
      <c r="H16" s="0" t="str">
        <f aca="false">IFERROR(VLOOKUP(A16,카카오선물하기!B:I,8,FALSE()),"")</f>
        <v/>
      </c>
      <c r="I16" s="0" t="str">
        <f aca="false">IFERROR(VLOOKUP(A16,카카오선물하기!B:J,9,FALSE()),"")</f>
        <v/>
      </c>
      <c r="J16" s="0" t="n">
        <f aca="false">IFERROR(VLOOKUP(A16,자사몰!A:F,6,FALSE()),"")</f>
        <v>79</v>
      </c>
      <c r="K16" s="0" t="n">
        <f aca="false">IFERROR(VLOOKUP(A16,자사몰!A:G,7,FALSE()),"")</f>
        <v>537200</v>
      </c>
      <c r="L16" s="0" t="n">
        <f aca="false">IFERROR(SUM(D16,F16,H16,J16),"")</f>
        <v>786</v>
      </c>
      <c r="M16" s="0" t="n">
        <f aca="false">IFERROR(SUM(E16,G16,I16,K16),"")</f>
        <v>6086780</v>
      </c>
    </row>
    <row r="17" customFormat="false" ht="15" hidden="false" customHeight="false" outlineLevel="0" collapsed="false">
      <c r="A17" s="0" t="s">
        <v>28</v>
      </c>
      <c r="B17" s="0" t="str">
        <f aca="false">IFERROR(VLOOKUP(A17,상품마스터!A:D,4,FALSE()),"")</f>
        <v>오트밀 500g</v>
      </c>
      <c r="C17" s="0" t="str">
        <f aca="false">IFERROR(VLOOKUP(A17,상품마스터!A:C,3,FALSE()),"")</f>
        <v>시리얼</v>
      </c>
      <c r="D17" s="0" t="n">
        <f aca="false">IFERROR(VLOOKUP(A17,스마트스토어!B:I,8,FALSE()),"")</f>
        <v>228</v>
      </c>
      <c r="E17" s="0" t="n">
        <f aca="false">IFERROR(VLOOKUP(A17,스마트스토어!B:J,9,FALSE()),"")</f>
        <v>1772244</v>
      </c>
      <c r="F17" s="0" t="n">
        <f aca="false">IFERROR(VLOOKUP(A17,쿠팡!B:J,9,FALSE()),"")</f>
        <v>194</v>
      </c>
      <c r="G17" s="0" t="n">
        <f aca="false">IFERROR(VLOOKUP(A17,쿠팡!B:K,10,FALSE()),"")</f>
        <v>1606320</v>
      </c>
      <c r="H17" s="0" t="str">
        <f aca="false">IFERROR(VLOOKUP(A17,카카오선물하기!B:I,8,FALSE()),"")</f>
        <v/>
      </c>
      <c r="I17" s="0" t="str">
        <f aca="false">IFERROR(VLOOKUP(A17,카카오선물하기!B:J,9,FALSE()),"")</f>
        <v/>
      </c>
      <c r="J17" s="0" t="n">
        <f aca="false">IFERROR(VLOOKUP(A17,자사몰!A:F,6,FALSE()),"")</f>
        <v>15</v>
      </c>
      <c r="K17" s="0" t="n">
        <f aca="false">IFERROR(VLOOKUP(A17,자사몰!A:G,7,FALSE()),"")</f>
        <v>112200</v>
      </c>
      <c r="L17" s="0" t="n">
        <f aca="false">IFERROR(SUM(D17,F17,H17,J17),"")</f>
        <v>437</v>
      </c>
      <c r="M17" s="0" t="n">
        <f aca="false">IFERROR(SUM(E17,G17,I17,K17),"")</f>
        <v>3490764</v>
      </c>
    </row>
    <row r="18" customFormat="false" ht="15" hidden="false" customHeight="false" outlineLevel="0" collapsed="false">
      <c r="A18" s="0" t="s">
        <v>29</v>
      </c>
      <c r="B18" s="0" t="str">
        <f aca="false">IFERROR(VLOOKUP(A18,상품마스터!A:D,4,FALSE()),"")</f>
        <v>뮤즐리 500g</v>
      </c>
      <c r="C18" s="0" t="str">
        <f aca="false">IFERROR(VLOOKUP(A18,상품마스터!A:C,3,FALSE()),"")</f>
        <v>시리얼</v>
      </c>
      <c r="D18" s="0" t="n">
        <f aca="false">IFERROR(VLOOKUP(A18,스마트스토어!B:I,8,FALSE()),"")</f>
        <v>138</v>
      </c>
      <c r="E18" s="0" t="n">
        <f aca="false">IFERROR(VLOOKUP(A18,스마트스토어!B:J,9,FALSE()),"")</f>
        <v>1387176</v>
      </c>
      <c r="F18" s="0" t="n">
        <f aca="false">IFERROR(VLOOKUP(A18,쿠팡!B:J,9,FALSE()),"")</f>
        <v>22</v>
      </c>
      <c r="G18" s="0" t="n">
        <f aca="false">IFERROR(VLOOKUP(A18,쿠팡!B:K,10,FALSE()),"")</f>
        <v>242220</v>
      </c>
      <c r="H18" s="0" t="str">
        <f aca="false">IFERROR(VLOOKUP(A18,카카오선물하기!B:I,8,FALSE()),"")</f>
        <v/>
      </c>
      <c r="I18" s="0" t="str">
        <f aca="false">IFERROR(VLOOKUP(A18,카카오선물하기!B:J,9,FALSE()),"")</f>
        <v/>
      </c>
      <c r="J18" s="0" t="n">
        <f aca="false">IFERROR(VLOOKUP(A18,자사몰!A:F,6,FALSE()),"")</f>
        <v>21</v>
      </c>
      <c r="K18" s="0" t="n">
        <f aca="false">IFERROR(VLOOKUP(A18,자사몰!A:G,7,FALSE()),"")</f>
        <v>203280</v>
      </c>
      <c r="L18" s="0" t="n">
        <f aca="false">IFERROR(SUM(D18,F18,H18,J18),"")</f>
        <v>181</v>
      </c>
      <c r="M18" s="0" t="n">
        <f aca="false">IFERROR(SUM(E18,G18,I18,K18),"")</f>
        <v>1832676</v>
      </c>
    </row>
    <row r="19" customFormat="false" ht="15" hidden="false" customHeight="false" outlineLevel="0" collapsed="false">
      <c r="A19" s="0" t="s">
        <v>30</v>
      </c>
      <c r="B19" s="0" t="str">
        <f aca="false">IFERROR(VLOOKUP(A19,상품마스터!A:D,4,FALSE()),"")</f>
        <v>현미플레이크 1kg</v>
      </c>
      <c r="C19" s="0" t="str">
        <f aca="false">IFERROR(VLOOKUP(A19,상품마스터!A:C,3,FALSE()),"")</f>
        <v>시리얼</v>
      </c>
      <c r="D19" s="0" t="n">
        <f aca="false">IFERROR(VLOOKUP(A19,스마트스토어!B:I,8,FALSE()),"")</f>
        <v>91</v>
      </c>
      <c r="E19" s="0" t="n">
        <f aca="false">IFERROR(VLOOKUP(A19,스마트스토어!B:J,9,FALSE()),"")</f>
        <v>1076621</v>
      </c>
      <c r="F19" s="0" t="n">
        <f aca="false">IFERROR(VLOOKUP(A19,쿠팡!B:J,9,FALSE()),"")</f>
        <v>402</v>
      </c>
      <c r="G19" s="0" t="n">
        <f aca="false">IFERROR(VLOOKUP(A19,쿠팡!B:K,10,FALSE()),"")</f>
        <v>5232834</v>
      </c>
      <c r="H19" s="0" t="str">
        <f aca="false">IFERROR(VLOOKUP(A19,카카오선물하기!B:I,8,FALSE()),"")</f>
        <v/>
      </c>
      <c r="I19" s="0" t="str">
        <f aca="false">IFERROR(VLOOKUP(A19,카카오선물하기!B:J,9,FALSE()),"")</f>
        <v/>
      </c>
      <c r="J19" s="0" t="n">
        <f aca="false">IFERROR(VLOOKUP(A19,자사몰!A:F,6,FALSE()),"")</f>
        <v>125</v>
      </c>
      <c r="K19" s="0" t="n">
        <f aca="false">IFERROR(VLOOKUP(A19,자사몰!A:G,7,FALSE()),"")</f>
        <v>1381250</v>
      </c>
      <c r="L19" s="0" t="n">
        <f aca="false">IFERROR(SUM(D19,F19,H19,J19),"")</f>
        <v>618</v>
      </c>
      <c r="M19" s="0" t="n">
        <f aca="false">IFERROR(SUM(E19,G19,I19,K19),"")</f>
        <v>7690705</v>
      </c>
    </row>
    <row r="20" customFormat="false" ht="15" hidden="false" customHeight="false" outlineLevel="0" collapsed="false">
      <c r="A20" s="0" t="s">
        <v>31</v>
      </c>
      <c r="B20" s="0" t="str">
        <f aca="false">IFERROR(VLOOKUP(A20,상품마스터!A:D,4,FALSE()),"")</f>
        <v>콘플레이크 1kg</v>
      </c>
      <c r="C20" s="0" t="str">
        <f aca="false">IFERROR(VLOOKUP(A20,상품마스터!A:C,3,FALSE()),"")</f>
        <v>시리얼</v>
      </c>
      <c r="D20" s="0" t="n">
        <f aca="false">IFERROR(VLOOKUP(A20,스마트스토어!B:I,8,FALSE()),"")</f>
        <v>179</v>
      </c>
      <c r="E20" s="0" t="n">
        <f aca="false">IFERROR(VLOOKUP(A20,스마트스토어!B:J,9,FALSE()),"")</f>
        <v>2117570</v>
      </c>
      <c r="F20" s="0" t="n">
        <f aca="false">IFERROR(VLOOKUP(A20,쿠팡!B:J,9,FALSE()),"")</f>
        <v>528</v>
      </c>
      <c r="G20" s="0" t="n">
        <f aca="false">IFERROR(VLOOKUP(A20,쿠팡!B:K,10,FALSE()),"")</f>
        <v>6089424</v>
      </c>
      <c r="H20" s="0" t="str">
        <f aca="false">IFERROR(VLOOKUP(A20,카카오선물하기!B:I,8,FALSE()),"")</f>
        <v/>
      </c>
      <c r="I20" s="0" t="str">
        <f aca="false">IFERROR(VLOOKUP(A20,카카오선물하기!B:J,9,FALSE()),"")</f>
        <v/>
      </c>
      <c r="J20" s="0" t="n">
        <f aca="false">IFERROR(VLOOKUP(A20,자사몰!A:F,6,FALSE()),"")</f>
        <v>66</v>
      </c>
      <c r="K20" s="0" t="n">
        <f aca="false">IFERROR(VLOOKUP(A20,자사몰!A:G,7,FALSE()),"")</f>
        <v>689700</v>
      </c>
      <c r="L20" s="0" t="n">
        <f aca="false">IFERROR(SUM(D20,F20,H20,J20),"")</f>
        <v>773</v>
      </c>
      <c r="M20" s="0" t="n">
        <f aca="false">IFERROR(SUM(E20,G20,I20,K20),"")</f>
        <v>8896694</v>
      </c>
    </row>
    <row r="21" customFormat="false" ht="15" hidden="false" customHeight="false" outlineLevel="0" collapsed="false">
      <c r="A21" s="0" t="s">
        <v>32</v>
      </c>
      <c r="B21" s="0" t="str">
        <f aca="false">IFERROR(VLOOKUP(A21,상품마스터!A:D,4,FALSE()),"")</f>
        <v>초코볼 1kg</v>
      </c>
      <c r="C21" s="0" t="str">
        <f aca="false">IFERROR(VLOOKUP(A21,상품마스터!A:C,3,FALSE()),"")</f>
        <v>시리얼</v>
      </c>
      <c r="D21" s="0" t="n">
        <f aca="false">IFERROR(VLOOKUP(A21,스마트스토어!B:I,8,FALSE()),"")</f>
        <v>318</v>
      </c>
      <c r="E21" s="0" t="n">
        <f aca="false">IFERROR(VLOOKUP(A21,스마트스토어!B:J,9,FALSE()),"")</f>
        <v>4072626</v>
      </c>
      <c r="F21" s="0" t="n">
        <f aca="false">IFERROR(VLOOKUP(A21,쿠팡!B:J,9,FALSE()),"")</f>
        <v>56</v>
      </c>
      <c r="G21" s="0" t="n">
        <f aca="false">IFERROR(VLOOKUP(A21,쿠팡!B:K,10,FALSE()),"")</f>
        <v>639968</v>
      </c>
      <c r="H21" s="0" t="str">
        <f aca="false">IFERROR(VLOOKUP(A21,카카오선물하기!B:I,8,FALSE()),"")</f>
        <v/>
      </c>
      <c r="I21" s="0" t="str">
        <f aca="false">IFERROR(VLOOKUP(A21,카카오선물하기!B:J,9,FALSE()),"")</f>
        <v/>
      </c>
      <c r="J21" s="0" t="n">
        <f aca="false">IFERROR(VLOOKUP(A21,자사몰!A:F,6,FALSE()),"")</f>
        <v>49</v>
      </c>
      <c r="K21" s="0" t="n">
        <f aca="false">IFERROR(VLOOKUP(A21,자사몰!A:G,7,FALSE()),"")</f>
        <v>603680</v>
      </c>
      <c r="L21" s="0" t="n">
        <f aca="false">IFERROR(SUM(D21,F21,H21,J21),"")</f>
        <v>423</v>
      </c>
      <c r="M21" s="0" t="n">
        <f aca="false">IFERROR(SUM(E21,G21,I21,K21),"")</f>
        <v>5316274</v>
      </c>
    </row>
    <row r="22" customFormat="false" ht="15" hidden="false" customHeight="false" outlineLevel="0" collapsed="false">
      <c r="A22" s="0" t="s">
        <v>33</v>
      </c>
      <c r="B22" s="0" t="str">
        <f aca="false">IFERROR(VLOOKUP(A22,상품마스터!A:D,4,FALSE()),"")</f>
        <v>오트밀 1kg</v>
      </c>
      <c r="C22" s="0" t="str">
        <f aca="false">IFERROR(VLOOKUP(A22,상품마스터!A:C,3,FALSE()),"")</f>
        <v>시리얼</v>
      </c>
      <c r="D22" s="0" t="str">
        <f aca="false">IFERROR(VLOOKUP(A22,스마트스토어!B:I,8,FALSE()),"")</f>
        <v/>
      </c>
      <c r="E22" s="0" t="str">
        <f aca="false">IFERROR(VLOOKUP(A22,스마트스토어!B:J,9,FALSE()),"")</f>
        <v/>
      </c>
      <c r="F22" s="0" t="str">
        <f aca="false">IFERROR(VLOOKUP(A22,쿠팡!B:J,9,FALSE()),"")</f>
        <v/>
      </c>
      <c r="G22" s="0" t="str">
        <f aca="false">IFERROR(VLOOKUP(A22,쿠팡!B:K,10,FALSE()),"")</f>
        <v/>
      </c>
      <c r="H22" s="0" t="str">
        <f aca="false">IFERROR(VLOOKUP(A22,카카오선물하기!B:I,8,FALSE()),"")</f>
        <v/>
      </c>
      <c r="I22" s="0" t="str">
        <f aca="false">IFERROR(VLOOKUP(A22,카카오선물하기!B:J,9,FALSE()),"")</f>
        <v/>
      </c>
      <c r="J22" s="0" t="n">
        <f aca="false">IFERROR(VLOOKUP(A22,자사몰!A:F,6,FALSE()),"")</f>
        <v>148</v>
      </c>
      <c r="K22" s="0" t="n">
        <f aca="false">IFERROR(VLOOKUP(A22,자사몰!A:G,7,FALSE()),"")</f>
        <v>1953600</v>
      </c>
      <c r="L22" s="0" t="n">
        <f aca="false">IFERROR(SUM(D22,F22,H22,J22),"")</f>
        <v>148</v>
      </c>
      <c r="M22" s="0" t="n">
        <f aca="false">IFERROR(SUM(E22,G22,I22,K22),"")</f>
        <v>1953600</v>
      </c>
    </row>
    <row r="23" customFormat="false" ht="15" hidden="false" customHeight="false" outlineLevel="0" collapsed="false">
      <c r="A23" s="0" t="s">
        <v>34</v>
      </c>
      <c r="B23" s="0" t="str">
        <f aca="false">IFERROR(VLOOKUP(A23,상품마스터!A:D,4,FALSE()),"")</f>
        <v>뮤즐리 1kg</v>
      </c>
      <c r="C23" s="0" t="str">
        <f aca="false">IFERROR(VLOOKUP(A23,상품마스터!A:C,3,FALSE()),"")</f>
        <v>시리얼</v>
      </c>
      <c r="D23" s="0" t="n">
        <f aca="false">IFERROR(VLOOKUP(A23,스마트스토어!B:I,8,FALSE()),"")</f>
        <v>376</v>
      </c>
      <c r="E23" s="0" t="n">
        <f aca="false">IFERROR(VLOOKUP(A23,스마트스토어!B:J,9,FALSE()),"")</f>
        <v>7181976</v>
      </c>
      <c r="F23" s="0" t="n">
        <f aca="false">IFERROR(VLOOKUP(A23,쿠팡!B:J,9,FALSE()),"")</f>
        <v>365</v>
      </c>
      <c r="G23" s="0" t="n">
        <f aca="false">IFERROR(VLOOKUP(A23,쿠팡!B:K,10,FALSE()),"")</f>
        <v>5599100</v>
      </c>
      <c r="H23" s="0" t="str">
        <f aca="false">IFERROR(VLOOKUP(A23,카카오선물하기!B:I,8,FALSE()),"")</f>
        <v/>
      </c>
      <c r="I23" s="0" t="str">
        <f aca="false">IFERROR(VLOOKUP(A23,카카오선물하기!B:J,9,FALSE()),"")</f>
        <v/>
      </c>
      <c r="J23" s="0" t="n">
        <f aca="false">IFERROR(VLOOKUP(A23,자사몰!A:F,6,FALSE()),"")</f>
        <v>99</v>
      </c>
      <c r="K23" s="0" t="n">
        <f aca="false">IFERROR(VLOOKUP(A23,자사몰!A:G,7,FALSE()),"")</f>
        <v>1786950</v>
      </c>
      <c r="L23" s="0" t="n">
        <f aca="false">IFERROR(SUM(D23,F23,H23,J23),"")</f>
        <v>840</v>
      </c>
      <c r="M23" s="0" t="n">
        <f aca="false">IFERROR(SUM(E23,G23,I23,K23),"")</f>
        <v>14568026</v>
      </c>
    </row>
    <row r="24" customFormat="false" ht="15" hidden="false" customHeight="false" outlineLevel="0" collapsed="false">
      <c r="A24" s="0" t="s">
        <v>35</v>
      </c>
      <c r="B24" s="0" t="str">
        <f aca="false">IFERROR(VLOOKUP(A24,상품마스터!A:D,4,FALSE()),"")</f>
        <v>오트밀 스틱 30g x 10</v>
      </c>
      <c r="C24" s="0" t="str">
        <f aca="false">IFERROR(VLOOKUP(A24,상품마스터!A:C,3,FALSE()),"")</f>
        <v>시리얼</v>
      </c>
      <c r="D24" s="0" t="n">
        <f aca="false">IFERROR(VLOOKUP(A24,스마트스토어!B:I,8,FALSE()),"")</f>
        <v>65</v>
      </c>
      <c r="E24" s="0" t="n">
        <f aca="false">IFERROR(VLOOKUP(A24,스마트스토어!B:J,9,FALSE()),"")</f>
        <v>458770</v>
      </c>
      <c r="F24" s="0" t="n">
        <f aca="false">IFERROR(VLOOKUP(A24,쿠팡!B:J,9,FALSE()),"")</f>
        <v>137</v>
      </c>
      <c r="G24" s="0" t="n">
        <f aca="false">IFERROR(VLOOKUP(A24,쿠팡!B:K,10,FALSE()),"")</f>
        <v>1088191</v>
      </c>
      <c r="H24" s="0" t="str">
        <f aca="false">IFERROR(VLOOKUP(A24,카카오선물하기!B:I,8,FALSE()),"")</f>
        <v/>
      </c>
      <c r="I24" s="0" t="str">
        <f aca="false">IFERROR(VLOOKUP(A24,카카오선물하기!B:J,9,FALSE()),"")</f>
        <v/>
      </c>
      <c r="J24" s="0" t="n">
        <f aca="false">IFERROR(VLOOKUP(A24,자사몰!A:F,6,FALSE()),"")</f>
        <v>97</v>
      </c>
      <c r="K24" s="0" t="n">
        <f aca="false">IFERROR(VLOOKUP(A24,자사몰!A:G,7,FALSE()),"")</f>
        <v>682880</v>
      </c>
      <c r="L24" s="0" t="n">
        <f aca="false">IFERROR(SUM(D24,F24,H24,J24),"")</f>
        <v>299</v>
      </c>
      <c r="M24" s="0" t="n">
        <f aca="false">IFERROR(SUM(E24,G24,I24,K24),"")</f>
        <v>2229841</v>
      </c>
    </row>
    <row r="25" customFormat="false" ht="15" hidden="false" customHeight="false" outlineLevel="0" collapsed="false">
      <c r="A25" s="0" t="s">
        <v>36</v>
      </c>
      <c r="B25" s="0" t="str">
        <f aca="false">IFERROR(VLOOKUP(A25,상품마스터!A:D,4,FALSE()),"")</f>
        <v>오트밀 스틱 30g x 30</v>
      </c>
      <c r="C25" s="0" t="str">
        <f aca="false">IFERROR(VLOOKUP(A25,상품마스터!A:C,3,FALSE()),"")</f>
        <v>시리얼</v>
      </c>
      <c r="D25" s="0" t="n">
        <f aca="false">IFERROR(VLOOKUP(A25,스마트스토어!B:I,8,FALSE()),"")</f>
        <v>26</v>
      </c>
      <c r="E25" s="0" t="n">
        <f aca="false">IFERROR(VLOOKUP(A25,스마트스토어!B:J,9,FALSE()),"")</f>
        <v>569738</v>
      </c>
      <c r="F25" s="0" t="n">
        <f aca="false">IFERROR(VLOOKUP(A25,쿠팡!B:J,9,FALSE()),"")</f>
        <v>226</v>
      </c>
      <c r="G25" s="0" t="n">
        <f aca="false">IFERROR(VLOOKUP(A25,쿠팡!B:K,10,FALSE()),"")</f>
        <v>4659442</v>
      </c>
      <c r="H25" s="0" t="str">
        <f aca="false">IFERROR(VLOOKUP(A25,카카오선물하기!B:I,8,FALSE()),"")</f>
        <v/>
      </c>
      <c r="I25" s="0" t="str">
        <f aca="false">IFERROR(VLOOKUP(A25,카카오선물하기!B:J,9,FALSE()),"")</f>
        <v/>
      </c>
      <c r="J25" s="0" t="n">
        <f aca="false">IFERROR(VLOOKUP(A25,자사몰!A:F,6,FALSE()),"")</f>
        <v>60</v>
      </c>
      <c r="K25" s="0" t="n">
        <f aca="false">IFERROR(VLOOKUP(A25,자사몰!A:G,7,FALSE()),"")</f>
        <v>1159200</v>
      </c>
      <c r="L25" s="0" t="n">
        <f aca="false">IFERROR(SUM(D25,F25,H25,J25),"")</f>
        <v>312</v>
      </c>
      <c r="M25" s="0" t="n">
        <f aca="false">IFERROR(SUM(E25,G25,I25,K25),"")</f>
        <v>6388380</v>
      </c>
    </row>
    <row r="26" customFormat="false" ht="15" hidden="false" customHeight="false" outlineLevel="0" collapsed="false">
      <c r="A26" s="0" t="s">
        <v>37</v>
      </c>
      <c r="B26" s="0" t="str">
        <f aca="false">IFERROR(VLOOKUP(A26,상품마스터!A:D,4,FALSE()),"")</f>
        <v>그래놀라+프로틴바 A세트</v>
      </c>
      <c r="C26" s="0" t="str">
        <f aca="false">IFERROR(VLOOKUP(A26,상품마스터!A:C,3,FALSE()),"")</f>
        <v>선물세트</v>
      </c>
      <c r="D26" s="0" t="n">
        <f aca="false">IFERROR(VLOOKUP(A26,스마트스토어!B:I,8,FALSE()),"")</f>
        <v>166</v>
      </c>
      <c r="E26" s="0" t="n">
        <f aca="false">IFERROR(VLOOKUP(A26,스마트스토어!B:J,9,FALSE()),"")</f>
        <v>5151478</v>
      </c>
      <c r="F26" s="0" t="n">
        <f aca="false">IFERROR(VLOOKUP(A26,쿠팡!B:J,9,FALSE()),"")</f>
        <v>447</v>
      </c>
      <c r="G26" s="0" t="n">
        <f aca="false">IFERROR(VLOOKUP(A26,쿠팡!B:K,10,FALSE()),"")</f>
        <v>11447670</v>
      </c>
      <c r="H26" s="0" t="n">
        <f aca="false">IFERROR(VLOOKUP(A26,카카오선물하기!B:I,8,FALSE()),"")</f>
        <v>51</v>
      </c>
      <c r="I26" s="0" t="n">
        <f aca="false">IFERROR(VLOOKUP(A26,카카오선물하기!B:J,9,FALSE()),"")</f>
        <v>1733235</v>
      </c>
      <c r="J26" s="0" t="n">
        <f aca="false">IFERROR(VLOOKUP(A26,자사몰!A:F,6,FALSE()),"")</f>
        <v>108</v>
      </c>
      <c r="K26" s="0" t="n">
        <f aca="false">IFERROR(VLOOKUP(A26,자사몰!A:G,7,FALSE()),"")</f>
        <v>2937600</v>
      </c>
      <c r="L26" s="0" t="n">
        <f aca="false">IFERROR(SUM(D26,F26,H26,J26),"")</f>
        <v>772</v>
      </c>
      <c r="M26" s="0" t="n">
        <f aca="false">IFERROR(SUM(E26,G26,I26,K26),"")</f>
        <v>21269983</v>
      </c>
    </row>
    <row r="27" customFormat="false" ht="15" hidden="false" customHeight="false" outlineLevel="0" collapsed="false">
      <c r="A27" s="0" t="s">
        <v>38</v>
      </c>
      <c r="B27" s="0" t="str">
        <f aca="false">IFERROR(VLOOKUP(A27,상품마스터!A:D,4,FALSE()),"")</f>
        <v>프리미엄 B세트</v>
      </c>
      <c r="C27" s="0" t="str">
        <f aca="false">IFERROR(VLOOKUP(A27,상품마스터!A:C,3,FALSE()),"")</f>
        <v>선물세트</v>
      </c>
      <c r="D27" s="0" t="n">
        <f aca="false">IFERROR(VLOOKUP(A27,스마트스토어!B:I,8,FALSE()),"")</f>
        <v>392</v>
      </c>
      <c r="E27" s="0" t="n">
        <f aca="false">IFERROR(VLOOKUP(A27,스마트스토어!B:J,9,FALSE()),"")</f>
        <v>18870880</v>
      </c>
      <c r="F27" s="0" t="n">
        <f aca="false">IFERROR(VLOOKUP(A27,쿠팡!B:J,9,FALSE()),"")</f>
        <v>543</v>
      </c>
      <c r="G27" s="0" t="n">
        <f aca="false">IFERROR(VLOOKUP(A27,쿠팡!B:K,10,FALSE()),"")</f>
        <v>23171439</v>
      </c>
      <c r="H27" s="0" t="n">
        <f aca="false">IFERROR(VLOOKUP(A27,카카오선물하기!B:I,8,FALSE()),"")</f>
        <v>70</v>
      </c>
      <c r="I27" s="0" t="n">
        <f aca="false">IFERROR(VLOOKUP(A27,카카오선물하기!B:J,9,FALSE()),"")</f>
        <v>3381000</v>
      </c>
      <c r="J27" s="0" t="n">
        <f aca="false">IFERROR(VLOOKUP(A27,자사몰!A:F,6,FALSE()),"")</f>
        <v>5</v>
      </c>
      <c r="K27" s="0" t="n">
        <f aca="false">IFERROR(VLOOKUP(A27,자사몰!A:G,7,FALSE()),"")</f>
        <v>216000</v>
      </c>
      <c r="L27" s="0" t="n">
        <f aca="false">IFERROR(SUM(D27,F27,H27,J27),"")</f>
        <v>1010</v>
      </c>
      <c r="M27" s="0" t="n">
        <f aca="false">IFERROR(SUM(E27,G27,I27,K27),"")</f>
        <v>45639319</v>
      </c>
    </row>
    <row r="28" customFormat="false" ht="15" hidden="false" customHeight="false" outlineLevel="0" collapsed="false">
      <c r="A28" s="0" t="s">
        <v>39</v>
      </c>
      <c r="B28" s="0" t="str">
        <f aca="false">IFERROR(VLOOKUP(A28,상품마스터!A:D,4,FALSE()),"")</f>
        <v>스무디+잼 C세트</v>
      </c>
      <c r="C28" s="0" t="str">
        <f aca="false">IFERROR(VLOOKUP(A28,상품마스터!A:C,3,FALSE()),"")</f>
        <v>선물세트</v>
      </c>
      <c r="D28" s="0" t="n">
        <f aca="false">IFERROR(VLOOKUP(A28,스마트스토어!B:I,8,FALSE()),"")</f>
        <v>300</v>
      </c>
      <c r="E28" s="0" t="n">
        <f aca="false">IFERROR(VLOOKUP(A28,스마트스토어!B:J,9,FALSE()),"")</f>
        <v>11143200</v>
      </c>
      <c r="F28" s="0" t="n">
        <f aca="false">IFERROR(VLOOKUP(A28,쿠팡!B:J,9,FALSE()),"")</f>
        <v>552</v>
      </c>
      <c r="G28" s="0" t="n">
        <f aca="false">IFERROR(VLOOKUP(A28,쿠팡!B:K,10,FALSE()),"")</f>
        <v>17543664</v>
      </c>
      <c r="H28" s="0" t="n">
        <f aca="false">IFERROR(VLOOKUP(A28,카카오선물하기!B:I,8,FALSE()),"")</f>
        <v>122</v>
      </c>
      <c r="I28" s="0" t="n">
        <f aca="false">IFERROR(VLOOKUP(A28,카카오선물하기!B:J,9,FALSE()),"")</f>
        <v>4854014</v>
      </c>
      <c r="J28" s="0" t="n">
        <f aca="false">IFERROR(VLOOKUP(A28,자사몰!A:F,6,FALSE()),"")</f>
        <v>150</v>
      </c>
      <c r="K28" s="0" t="n">
        <f aca="false">IFERROR(VLOOKUP(A28,자사몰!A:G,7,FALSE()),"")</f>
        <v>5415000</v>
      </c>
      <c r="L28" s="0" t="n">
        <f aca="false">IFERROR(SUM(D28,F28,H28,J28),"")</f>
        <v>1124</v>
      </c>
      <c r="M28" s="0" t="n">
        <f aca="false">IFERROR(SUM(E28,G28,I28,K28),"")</f>
        <v>38955878</v>
      </c>
    </row>
    <row r="29" customFormat="false" ht="15" hidden="false" customHeight="false" outlineLevel="0" collapsed="false">
      <c r="A29" s="0" t="s">
        <v>40</v>
      </c>
      <c r="B29" s="0" t="str">
        <f aca="false">IFERROR(VLOOKUP(A29,상품마스터!A:D,4,FALSE()),"")</f>
        <v>견과류 D세트</v>
      </c>
      <c r="C29" s="0" t="str">
        <f aca="false">IFERROR(VLOOKUP(A29,상품마스터!A:C,3,FALSE()),"")</f>
        <v>선물세트</v>
      </c>
      <c r="D29" s="0" t="n">
        <f aca="false">IFERROR(VLOOKUP(A29,스마트스토어!B:I,8,FALSE()),"")</f>
        <v>120</v>
      </c>
      <c r="E29" s="0" t="n">
        <f aca="false">IFERROR(VLOOKUP(A29,스마트스토어!B:J,9,FALSE()),"")</f>
        <v>4776120</v>
      </c>
      <c r="F29" s="0" t="n">
        <f aca="false">IFERROR(VLOOKUP(A29,쿠팡!B:J,9,FALSE()),"")</f>
        <v>31</v>
      </c>
      <c r="G29" s="0" t="n">
        <f aca="false">IFERROR(VLOOKUP(A29,쿠팡!B:K,10,FALSE()),"")</f>
        <v>1300729</v>
      </c>
      <c r="H29" s="0" t="n">
        <f aca="false">IFERROR(VLOOKUP(A29,카카오선물하기!B:I,8,FALSE()),"")</f>
        <v>54</v>
      </c>
      <c r="I29" s="0" t="n">
        <f aca="false">IFERROR(VLOOKUP(A29,카카오선물하기!B:J,9,FALSE()),"")</f>
        <v>2479032</v>
      </c>
      <c r="J29" s="0" t="n">
        <f aca="false">IFERROR(VLOOKUP(A29,자사몰!A:F,6,FALSE()),"")</f>
        <v>55</v>
      </c>
      <c r="K29" s="0" t="n">
        <f aca="false">IFERROR(VLOOKUP(A29,자사몰!A:G,7,FALSE()),"")</f>
        <v>2277000</v>
      </c>
      <c r="L29" s="0" t="n">
        <f aca="false">IFERROR(SUM(D29,F29,H29,J29),"")</f>
        <v>260</v>
      </c>
      <c r="M29" s="0" t="n">
        <f aca="false">IFERROR(SUM(E29,G29,I29,K29),"")</f>
        <v>10832881</v>
      </c>
    </row>
    <row r="30" customFormat="false" ht="15" hidden="false" customHeight="false" outlineLevel="0" collapsed="false">
      <c r="A30" s="0" t="s">
        <v>41</v>
      </c>
      <c r="B30" s="0" t="str">
        <f aca="false">IFERROR(VLOOKUP(A30,상품마스터!A:D,4,FALSE()),"")</f>
        <v>음료 모음 E세트</v>
      </c>
      <c r="C30" s="0" t="str">
        <f aca="false">IFERROR(VLOOKUP(A30,상품마스터!A:C,3,FALSE()),"")</f>
        <v>선물세트</v>
      </c>
      <c r="D30" s="0" t="n">
        <f aca="false">IFERROR(VLOOKUP(A30,스마트스토어!B:I,8,FALSE()),"")</f>
        <v>342</v>
      </c>
      <c r="E30" s="0" t="n">
        <f aca="false">IFERROR(VLOOKUP(A30,스마트스토어!B:J,9,FALSE()),"")</f>
        <v>14126994</v>
      </c>
      <c r="F30" s="0" t="n">
        <f aca="false">IFERROR(VLOOKUP(A30,쿠팡!B:J,9,FALSE()),"")</f>
        <v>119</v>
      </c>
      <c r="G30" s="0" t="n">
        <f aca="false">IFERROR(VLOOKUP(A30,쿠팡!B:K,10,FALSE()),"")</f>
        <v>4958373</v>
      </c>
      <c r="H30" s="0" t="n">
        <f aca="false">IFERROR(VLOOKUP(A30,카카오선물하기!B:I,8,FALSE()),"")</f>
        <v>76</v>
      </c>
      <c r="I30" s="0" t="n">
        <f aca="false">IFERROR(VLOOKUP(A30,카카오선물하기!B:J,9,FALSE()),"")</f>
        <v>3478672</v>
      </c>
      <c r="J30" s="0" t="n">
        <f aca="false">IFERROR(VLOOKUP(A30,자사몰!A:F,6,FALSE()),"")</f>
        <v>132</v>
      </c>
      <c r="K30" s="0" t="n">
        <f aca="false">IFERROR(VLOOKUP(A30,자사몰!A:G,7,FALSE()),"")</f>
        <v>4878720</v>
      </c>
      <c r="L30" s="0" t="n">
        <f aca="false">IFERROR(SUM(D30,F30,H30,J30),"")</f>
        <v>669</v>
      </c>
      <c r="M30" s="0" t="n">
        <f aca="false">IFERROR(SUM(E30,G30,I30,K30),"")</f>
        <v>27442759</v>
      </c>
    </row>
    <row r="31" customFormat="false" ht="15" hidden="false" customHeight="false" outlineLevel="0" collapsed="false">
      <c r="A31" s="0" t="s">
        <v>42</v>
      </c>
      <c r="B31" s="0" t="str">
        <f aca="false">IFERROR(VLOOKUP(A31,상품마스터!A:D,4,FALSE()),"")</f>
        <v>올인원 F세트</v>
      </c>
      <c r="C31" s="0" t="str">
        <f aca="false">IFERROR(VLOOKUP(A31,상품마스터!A:C,3,FALSE()),"")</f>
        <v>선물세트</v>
      </c>
      <c r="D31" s="0" t="n">
        <f aca="false">IFERROR(VLOOKUP(A31,스마트스토어!B:I,8,FALSE()),"")</f>
        <v>296</v>
      </c>
      <c r="E31" s="0" t="n">
        <f aca="false">IFERROR(VLOOKUP(A31,스마트스토어!B:J,9,FALSE()),"")</f>
        <v>21626352</v>
      </c>
      <c r="F31" s="0" t="n">
        <f aca="false">IFERROR(VLOOKUP(A31,쿠팡!B:J,9,FALSE()),"")</f>
        <v>136</v>
      </c>
      <c r="G31" s="0" t="n">
        <f aca="false">IFERROR(VLOOKUP(A31,쿠팡!B:K,10,FALSE()),"")</f>
        <v>8251392</v>
      </c>
      <c r="H31" s="0" t="n">
        <f aca="false">IFERROR(VLOOKUP(A31,카카오선물하기!B:I,8,FALSE()),"")</f>
        <v>102</v>
      </c>
      <c r="I31" s="0" t="n">
        <f aca="false">IFERROR(VLOOKUP(A31,카카오선물하기!B:J,9,FALSE()),"")</f>
        <v>7450794</v>
      </c>
      <c r="J31" s="0" t="n">
        <f aca="false">IFERROR(VLOOKUP(A31,자사몰!A:F,6,FALSE()),"")</f>
        <v>36</v>
      </c>
      <c r="K31" s="0" t="n">
        <f aca="false">IFERROR(VLOOKUP(A31,자사몰!A:G,7,FALSE()),"")</f>
        <v>2203200</v>
      </c>
      <c r="L31" s="0" t="n">
        <f aca="false">IFERROR(SUM(D31,F31,H31,J31),"")</f>
        <v>570</v>
      </c>
      <c r="M31" s="0" t="n">
        <f aca="false">IFERROR(SUM(E31,G31,I31,K31),"")</f>
        <v>39531738</v>
      </c>
    </row>
    <row r="32" customFormat="false" ht="15" hidden="false" customHeight="false" outlineLevel="0" collapsed="false">
      <c r="A32" s="0" t="s">
        <v>43</v>
      </c>
      <c r="B32" s="0" t="str">
        <f aca="false">IFERROR(VLOOKUP(A32,상품마스터!A:D,4,FALSE()),"")</f>
        <v>미니 체험 G세트</v>
      </c>
      <c r="C32" s="0" t="str">
        <f aca="false">IFERROR(VLOOKUP(A32,상품마스터!A:C,3,FALSE()),"")</f>
        <v>선물세트</v>
      </c>
      <c r="D32" s="0" t="str">
        <f aca="false">IFERROR(VLOOKUP(A32,스마트스토어!B:I,8,FALSE()),"")</f>
        <v/>
      </c>
      <c r="E32" s="0" t="str">
        <f aca="false">IFERROR(VLOOKUP(A32,스마트스토어!B:J,9,FALSE()),"")</f>
        <v/>
      </c>
      <c r="F32" s="0" t="n">
        <f aca="false">IFERROR(VLOOKUP(A32,쿠팡!B:J,9,FALSE()),"")</f>
        <v>87</v>
      </c>
      <c r="G32" s="0" t="n">
        <f aca="false">IFERROR(VLOOKUP(A32,쿠팡!B:K,10,FALSE()),"")</f>
        <v>1807773</v>
      </c>
      <c r="H32" s="0" t="n">
        <f aca="false">IFERROR(VLOOKUP(A32,카카오선물하기!B:I,8,FALSE()),"")</f>
        <v>130</v>
      </c>
      <c r="I32" s="0" t="n">
        <f aca="false">IFERROR(VLOOKUP(A32,카카오선물하기!B:J,9,FALSE()),"")</f>
        <v>3562390</v>
      </c>
      <c r="J32" s="0" t="n">
        <f aca="false">IFERROR(VLOOKUP(A32,자사몰!A:F,6,FALSE()),"")</f>
        <v>94</v>
      </c>
      <c r="K32" s="0" t="n">
        <f aca="false">IFERROR(VLOOKUP(A32,자사몰!A:G,7,FALSE()),"")</f>
        <v>2068000</v>
      </c>
      <c r="L32" s="0" t="n">
        <f aca="false">IFERROR(SUM(D32,F32,H32,J32),"")</f>
        <v>311</v>
      </c>
      <c r="M32" s="0" t="n">
        <f aca="false">IFERROR(SUM(E32,G32,I32,K32),"")</f>
        <v>7438163</v>
      </c>
    </row>
    <row r="33" customFormat="false" ht="15" hidden="false" customHeight="false" outlineLevel="0" collapsed="false">
      <c r="A33" s="0" t="s">
        <v>44</v>
      </c>
      <c r="B33" s="0" t="str">
        <f aca="false">IFERROR(VLOOKUP(A33,상품마스터!A:D,4,FALSE()),"")</f>
        <v>명절 특대 H세트</v>
      </c>
      <c r="C33" s="0" t="str">
        <f aca="false">IFERROR(VLOOKUP(A33,상품마스터!A:C,3,FALSE()),"")</f>
        <v>선물세트</v>
      </c>
      <c r="D33" s="0" t="str">
        <f aca="false">IFERROR(VLOOKUP(A33,스마트스토어!B:I,8,FALSE()),"")</f>
        <v/>
      </c>
      <c r="E33" s="0" t="str">
        <f aca="false">IFERROR(VLOOKUP(A33,스마트스토어!B:J,9,FALSE()),"")</f>
        <v/>
      </c>
      <c r="F33" s="0" t="n">
        <f aca="false">IFERROR(VLOOKUP(A33,쿠팡!B:J,9,FALSE()),"")</f>
        <v>412</v>
      </c>
      <c r="G33" s="0" t="n">
        <f aca="false">IFERROR(VLOOKUP(A33,쿠팡!B:K,10,FALSE()),"")</f>
        <v>34079404</v>
      </c>
      <c r="H33" s="0" t="n">
        <f aca="false">IFERROR(VLOOKUP(A33,카카오선물하기!B:I,8,FALSE()),"")</f>
        <v>66</v>
      </c>
      <c r="I33" s="0" t="n">
        <f aca="false">IFERROR(VLOOKUP(A33,카카오선물하기!B:J,9,FALSE()),"")</f>
        <v>6685008</v>
      </c>
      <c r="J33" s="0" t="n">
        <f aca="false">IFERROR(VLOOKUP(A33,자사몰!A:F,6,FALSE()),"")</f>
        <v>37</v>
      </c>
      <c r="K33" s="0" t="n">
        <f aca="false">IFERROR(VLOOKUP(A33,자사몰!A:G,7,FALSE()),"")</f>
        <v>3029560</v>
      </c>
      <c r="L33" s="0" t="n">
        <f aca="false">IFERROR(SUM(D33,F33,H33,J33),"")</f>
        <v>515</v>
      </c>
      <c r="M33" s="0" t="n">
        <f aca="false">IFERROR(SUM(E33,G33,I33,K33),"")</f>
        <v>43793972</v>
      </c>
    </row>
    <row r="34" customFormat="false" ht="15" hidden="false" customHeight="false" outlineLevel="0" collapsed="false">
      <c r="A34" s="0" t="s">
        <v>45</v>
      </c>
      <c r="B34" s="0" t="str">
        <f aca="false">IFERROR(VLOOKUP(A34,상품마스터!A:D,4,FALSE()),"")</f>
        <v>오피스 간식 I세트</v>
      </c>
      <c r="C34" s="0" t="str">
        <f aca="false">IFERROR(VLOOKUP(A34,상품마스터!A:C,3,FALSE()),"")</f>
        <v>선물세트</v>
      </c>
      <c r="D34" s="0" t="n">
        <f aca="false">IFERROR(VLOOKUP(A34,스마트스토어!B:I,8,FALSE()),"")</f>
        <v>399</v>
      </c>
      <c r="E34" s="0" t="n">
        <f aca="false">IFERROR(VLOOKUP(A34,스마트스토어!B:J,9,FALSE()),"")</f>
        <v>14393925</v>
      </c>
      <c r="F34" s="0" t="n">
        <f aca="false">IFERROR(VLOOKUP(A34,쿠팡!B:J,9,FALSE()),"")</f>
        <v>365</v>
      </c>
      <c r="G34" s="0" t="n">
        <f aca="false">IFERROR(VLOOKUP(A34,쿠팡!B:K,10,FALSE()),"")</f>
        <v>12415475</v>
      </c>
      <c r="H34" s="0" t="n">
        <f aca="false">IFERROR(VLOOKUP(A34,카카오선물하기!B:I,8,FALSE()),"")</f>
        <v>161</v>
      </c>
      <c r="I34" s="0" t="n">
        <f aca="false">IFERROR(VLOOKUP(A34,카카오선물하기!B:J,9,FALSE()),"")</f>
        <v>5439224</v>
      </c>
      <c r="J34" s="0" t="n">
        <f aca="false">IFERROR(VLOOKUP(A34,자사몰!A:F,6,FALSE()),"")</f>
        <v>56</v>
      </c>
      <c r="K34" s="0" t="n">
        <f aca="false">IFERROR(VLOOKUP(A34,자사몰!A:G,7,FALSE()),"")</f>
        <v>1724800</v>
      </c>
      <c r="L34" s="0" t="n">
        <f aca="false">IFERROR(SUM(D34,F34,H34,J34),"")</f>
        <v>981</v>
      </c>
      <c r="M34" s="0" t="n">
        <f aca="false">IFERROR(SUM(E34,G34,I34,K34),"")</f>
        <v>33973424</v>
      </c>
    </row>
    <row r="35" customFormat="false" ht="15" hidden="false" customHeight="false" outlineLevel="0" collapsed="false">
      <c r="A35" s="0" t="s">
        <v>46</v>
      </c>
      <c r="B35" s="0" t="str">
        <f aca="false">IFERROR(VLOOKUP(A35,상품마스터!A:D,4,FALSE()),"")</f>
        <v>키즈 J세트</v>
      </c>
      <c r="C35" s="0" t="str">
        <f aca="false">IFERROR(VLOOKUP(A35,상품마스터!A:C,3,FALSE()),"")</f>
        <v>선물세트</v>
      </c>
      <c r="D35" s="0" t="n">
        <f aca="false">IFERROR(VLOOKUP(A35,스마트스토어!B:I,8,FALSE()),"")</f>
        <v>306</v>
      </c>
      <c r="E35" s="0" t="n">
        <f aca="false">IFERROR(VLOOKUP(A35,스마트스토어!B:J,9,FALSE()),"")</f>
        <v>8005878</v>
      </c>
      <c r="F35" s="0" t="n">
        <f aca="false">IFERROR(VLOOKUP(A35,쿠팡!B:J,9,FALSE()),"")</f>
        <v>224</v>
      </c>
      <c r="G35" s="0" t="n">
        <f aca="false">IFERROR(VLOOKUP(A35,쿠팡!B:K,10,FALSE()),"")</f>
        <v>5555872</v>
      </c>
      <c r="H35" s="0" t="n">
        <f aca="false">IFERROR(VLOOKUP(A35,카카오선물하기!B:I,8,FALSE()),"")</f>
        <v>18</v>
      </c>
      <c r="I35" s="0" t="n">
        <f aca="false">IFERROR(VLOOKUP(A35,카카오선물하기!B:J,9,FALSE()),"")</f>
        <v>557820</v>
      </c>
      <c r="J35" s="0" t="n">
        <f aca="false">IFERROR(VLOOKUP(A35,자사몰!A:F,6,FALSE()),"")</f>
        <v>55</v>
      </c>
      <c r="K35" s="0" t="n">
        <f aca="false">IFERROR(VLOOKUP(A35,자사몰!A:G,7,FALSE()),"")</f>
        <v>1386000</v>
      </c>
      <c r="L35" s="0" t="n">
        <f aca="false">IFERROR(SUM(D35,F35,H35,J35),"")</f>
        <v>603</v>
      </c>
      <c r="M35" s="0" t="n">
        <f aca="false">IFERROR(SUM(E35,G35,I35,K35),"")</f>
        <v>15505570</v>
      </c>
    </row>
    <row r="36" customFormat="false" ht="15" hidden="false" customHeight="false" outlineLevel="0" collapsed="false">
      <c r="A36" s="0" t="s">
        <v>47</v>
      </c>
      <c r="B36" s="0" t="str">
        <f aca="false">IFERROR(VLOOKUP(A36,상품마스터!A:D,4,FALSE()),"")</f>
        <v>다이어트 K세트</v>
      </c>
      <c r="C36" s="0" t="str">
        <f aca="false">IFERROR(VLOOKUP(A36,상품마스터!A:C,3,FALSE()),"")</f>
        <v>선물세트</v>
      </c>
      <c r="D36" s="0" t="n">
        <f aca="false">IFERROR(VLOOKUP(A36,스마트스토어!B:I,8,FALSE()),"")</f>
        <v>306</v>
      </c>
      <c r="E36" s="0" t="n">
        <f aca="false">IFERROR(VLOOKUP(A36,스마트스토어!B:J,9,FALSE()),"")</f>
        <v>14615172</v>
      </c>
      <c r="F36" s="0" t="n">
        <f aca="false">IFERROR(VLOOKUP(A36,쿠팡!B:J,9,FALSE()),"")</f>
        <v>127</v>
      </c>
      <c r="G36" s="0" t="n">
        <f aca="false">IFERROR(VLOOKUP(A36,쿠팡!B:K,10,FALSE()),"")</f>
        <v>5924677</v>
      </c>
      <c r="H36" s="0" t="n">
        <f aca="false">IFERROR(VLOOKUP(A36,카카오선물하기!B:I,8,FALSE()),"")</f>
        <v>216</v>
      </c>
      <c r="I36" s="0" t="n">
        <f aca="false">IFERROR(VLOOKUP(A36,카카오선물하기!B:J,9,FALSE()),"")</f>
        <v>11873952</v>
      </c>
      <c r="J36" s="0" t="n">
        <f aca="false">IFERROR(VLOOKUP(A36,자사몰!A:F,6,FALSE()),"")</f>
        <v>125</v>
      </c>
      <c r="K36" s="0" t="n">
        <f aca="false">IFERROR(VLOOKUP(A36,자사몰!A:G,7,FALSE()),"")</f>
        <v>6175000</v>
      </c>
      <c r="L36" s="0" t="n">
        <f aca="false">IFERROR(SUM(D36,F36,H36,J36),"")</f>
        <v>774</v>
      </c>
      <c r="M36" s="0" t="n">
        <f aca="false">IFERROR(SUM(E36,G36,I36,K36),"")</f>
        <v>38588801</v>
      </c>
    </row>
    <row r="37" customFormat="false" ht="15" hidden="false" customHeight="false" outlineLevel="0" collapsed="false">
      <c r="A37" s="0" t="s">
        <v>48</v>
      </c>
      <c r="B37" s="0" t="str">
        <f aca="false">IFERROR(VLOOKUP(A37,상품마스터!A:D,4,FALSE()),"")</f>
        <v>커플 L세트</v>
      </c>
      <c r="C37" s="0" t="str">
        <f aca="false">IFERROR(VLOOKUP(A37,상품마스터!A:C,3,FALSE()),"")</f>
        <v>선물세트</v>
      </c>
      <c r="D37" s="0" t="n">
        <f aca="false">IFERROR(VLOOKUP(A37,스마트스토어!B:I,8,FALSE()),"")</f>
        <v>448</v>
      </c>
      <c r="E37" s="0" t="n">
        <f aca="false">IFERROR(VLOOKUP(A37,스마트스토어!B:J,9,FALSE()),"")</f>
        <v>24008320</v>
      </c>
      <c r="F37" s="0" t="n">
        <f aca="false">IFERROR(VLOOKUP(A37,쿠팡!B:J,9,FALSE()),"")</f>
        <v>216</v>
      </c>
      <c r="G37" s="0" t="n">
        <f aca="false">IFERROR(VLOOKUP(A37,쿠팡!B:K,10,FALSE()),"")</f>
        <v>11340648</v>
      </c>
      <c r="H37" s="0" t="n">
        <f aca="false">IFERROR(VLOOKUP(A37,카카오선물하기!B:I,8,FALSE()),"")</f>
        <v>120</v>
      </c>
      <c r="I37" s="0" t="n">
        <f aca="false">IFERROR(VLOOKUP(A37,카카오선물하기!B:J,9,FALSE()),"")</f>
        <v>7067880</v>
      </c>
      <c r="J37" s="0" t="n">
        <f aca="false">IFERROR(VLOOKUP(A37,자사몰!A:F,6,FALSE()),"")</f>
        <v>8</v>
      </c>
      <c r="K37" s="0" t="n">
        <f aca="false">IFERROR(VLOOKUP(A37,자사몰!A:G,7,FALSE()),"")</f>
        <v>418000</v>
      </c>
      <c r="L37" s="0" t="n">
        <f aca="false">IFERROR(SUM(D37,F37,H37,J37),"")</f>
        <v>792</v>
      </c>
      <c r="M37" s="0" t="n">
        <f aca="false">IFERROR(SUM(E37,G37,I37,K37),"")</f>
        <v>42834848</v>
      </c>
    </row>
    <row r="38" customFormat="false" ht="15" hidden="false" customHeight="false" outlineLevel="0" collapsed="false">
      <c r="A38" s="0" t="s">
        <v>49</v>
      </c>
      <c r="B38" s="0" t="str">
        <f aca="false">IFERROR(VLOOKUP(A38,상품마스터!A:D,4,FALSE()),"")</f>
        <v>오리지널 400g</v>
      </c>
      <c r="C38" s="0" t="str">
        <f aca="false">IFERROR(VLOOKUP(A38,상품마스터!A:C,3,FALSE()),"")</f>
        <v>그래놀라</v>
      </c>
      <c r="D38" s="0" t="n">
        <f aca="false">IFERROR(VLOOKUP(A38,스마트스토어!B:I,8,FALSE()),"")</f>
        <v>332</v>
      </c>
      <c r="E38" s="0" t="n">
        <f aca="false">IFERROR(VLOOKUP(A38,스마트스토어!B:J,9,FALSE()),"")</f>
        <v>2957788</v>
      </c>
      <c r="F38" s="0" t="str">
        <f aca="false">IFERROR(VLOOKUP(A38,쿠팡!B:J,9,FALSE()),"")</f>
        <v/>
      </c>
      <c r="G38" s="0" t="str">
        <f aca="false">IFERROR(VLOOKUP(A38,쿠팡!B:K,10,FALSE()),"")</f>
        <v/>
      </c>
      <c r="H38" s="0" t="str">
        <f aca="false">IFERROR(VLOOKUP(A38,카카오선물하기!B:I,8,FALSE()),"")</f>
        <v/>
      </c>
      <c r="I38" s="0" t="str">
        <f aca="false">IFERROR(VLOOKUP(A38,카카오선물하기!B:J,9,FALSE()),"")</f>
        <v/>
      </c>
      <c r="J38" s="0" t="n">
        <f aca="false">IFERROR(VLOOKUP(A38,자사몰!A:F,6,FALSE()),"")</f>
        <v>26</v>
      </c>
      <c r="K38" s="0" t="n">
        <f aca="false">IFERROR(VLOOKUP(A38,자사몰!A:G,7,FALSE()),"")</f>
        <v>187850</v>
      </c>
      <c r="L38" s="0" t="n">
        <f aca="false">IFERROR(SUM(D38,F38,H38,J38),"")</f>
        <v>358</v>
      </c>
      <c r="M38" s="0" t="n">
        <f aca="false">IFERROR(SUM(E38,G38,I38,K38),"")</f>
        <v>3145638</v>
      </c>
    </row>
    <row r="39" customFormat="false" ht="15" hidden="false" customHeight="false" outlineLevel="0" collapsed="false">
      <c r="A39" s="0" t="s">
        <v>50</v>
      </c>
      <c r="B39" s="0" t="str">
        <f aca="false">IFERROR(VLOOKUP(A39,상품마스터!A:D,4,FALSE()),"")</f>
        <v>다크초코 400g</v>
      </c>
      <c r="C39" s="0" t="str">
        <f aca="false">IFERROR(VLOOKUP(A39,상품마스터!A:C,3,FALSE()),"")</f>
        <v>그래놀라</v>
      </c>
      <c r="D39" s="0" t="n">
        <f aca="false">IFERROR(VLOOKUP(A39,스마트스토어!B:I,8,FALSE()),"")</f>
        <v>305</v>
      </c>
      <c r="E39" s="0" t="n">
        <f aca="false">IFERROR(VLOOKUP(A39,스마트스토어!B:J,9,FALSE()),"")</f>
        <v>3009740</v>
      </c>
      <c r="F39" s="0" t="n">
        <f aca="false">IFERROR(VLOOKUP(A39,쿠팡!B:J,9,FALSE()),"")</f>
        <v>103</v>
      </c>
      <c r="G39" s="0" t="n">
        <f aca="false">IFERROR(VLOOKUP(A39,쿠팡!B:K,10,FALSE()),"")</f>
        <v>891774</v>
      </c>
      <c r="H39" s="0" t="str">
        <f aca="false">IFERROR(VLOOKUP(A39,카카오선물하기!B:I,8,FALSE()),"")</f>
        <v/>
      </c>
      <c r="I39" s="0" t="str">
        <f aca="false">IFERROR(VLOOKUP(A39,카카오선물하기!B:J,9,FALSE()),"")</f>
        <v/>
      </c>
      <c r="J39" s="0" t="n">
        <f aca="false">IFERROR(VLOOKUP(A39,자사몰!A:F,6,FALSE()),"")</f>
        <v>118</v>
      </c>
      <c r="K39" s="0" t="n">
        <f aca="false">IFERROR(VLOOKUP(A39,자사몰!A:G,7,FALSE()),"")</f>
        <v>1031320</v>
      </c>
      <c r="L39" s="0" t="n">
        <f aca="false">IFERROR(SUM(D39,F39,H39,J39),"")</f>
        <v>526</v>
      </c>
      <c r="M39" s="0" t="n">
        <f aca="false">IFERROR(SUM(E39,G39,I39,K39),"")</f>
        <v>4932834</v>
      </c>
    </row>
    <row r="40" customFormat="false" ht="15" hidden="false" customHeight="false" outlineLevel="0" collapsed="false">
      <c r="A40" s="0" t="s">
        <v>51</v>
      </c>
      <c r="B40" s="0" t="str">
        <f aca="false">IFERROR(VLOOKUP(A40,상품마스터!A:D,4,FALSE()),"")</f>
        <v>베리믹스 400g</v>
      </c>
      <c r="C40" s="0" t="str">
        <f aca="false">IFERROR(VLOOKUP(A40,상품마스터!A:C,3,FALSE()),"")</f>
        <v>그래놀라</v>
      </c>
      <c r="D40" s="0" t="n">
        <f aca="false">IFERROR(VLOOKUP(A40,스마트스토어!B:I,8,FALSE()),"")</f>
        <v>379</v>
      </c>
      <c r="E40" s="0" t="n">
        <f aca="false">IFERROR(VLOOKUP(A40,스마트스토어!B:J,9,FALSE()),"")</f>
        <v>3852914</v>
      </c>
      <c r="F40" s="0" t="str">
        <f aca="false">IFERROR(VLOOKUP(A40,쿠팡!B:J,9,FALSE()),"")</f>
        <v/>
      </c>
      <c r="G40" s="0" t="str">
        <f aca="false">IFERROR(VLOOKUP(A40,쿠팡!B:K,10,FALSE()),"")</f>
        <v/>
      </c>
      <c r="H40" s="0" t="str">
        <f aca="false">IFERROR(VLOOKUP(A40,카카오선물하기!B:I,8,FALSE()),"")</f>
        <v/>
      </c>
      <c r="I40" s="0" t="str">
        <f aca="false">IFERROR(VLOOKUP(A40,카카오선물하기!B:J,9,FALSE()),"")</f>
        <v/>
      </c>
      <c r="J40" s="0" t="n">
        <f aca="false">IFERROR(VLOOKUP(A40,자사몰!A:F,6,FALSE()),"")</f>
        <v>25</v>
      </c>
      <c r="K40" s="0" t="n">
        <f aca="false">IFERROR(VLOOKUP(A40,자사몰!A:G,7,FALSE()),"")</f>
        <v>201875</v>
      </c>
      <c r="L40" s="0" t="n">
        <f aca="false">IFERROR(SUM(D40,F40,H40,J40),"")</f>
        <v>404</v>
      </c>
      <c r="M40" s="0" t="n">
        <f aca="false">IFERROR(SUM(E40,G40,I40,K40),"")</f>
        <v>4054789</v>
      </c>
    </row>
    <row r="41" customFormat="false" ht="15" hidden="false" customHeight="false" outlineLevel="0" collapsed="false">
      <c r="A41" s="0" t="s">
        <v>52</v>
      </c>
      <c r="B41" s="0" t="str">
        <f aca="false">IFERROR(VLOOKUP(A41,상품마스터!A:D,4,FALSE()),"")</f>
        <v>코코넛 400g</v>
      </c>
      <c r="C41" s="0" t="str">
        <f aca="false">IFERROR(VLOOKUP(A41,상품마스터!A:C,3,FALSE()),"")</f>
        <v>그래놀라</v>
      </c>
      <c r="D41" s="0" t="n">
        <f aca="false">IFERROR(VLOOKUP(A41,스마트스토어!B:I,8,FALSE()),"")</f>
        <v>109</v>
      </c>
      <c r="E41" s="0" t="n">
        <f aca="false">IFERROR(VLOOKUP(A41,스마트스토어!B:J,9,FALSE()),"")</f>
        <v>1050106</v>
      </c>
      <c r="F41" s="0" t="n">
        <f aca="false">IFERROR(VLOOKUP(A41,쿠팡!B:J,9,FALSE()),"")</f>
        <v>426</v>
      </c>
      <c r="G41" s="0" t="n">
        <f aca="false">IFERROR(VLOOKUP(A41,쿠팡!B:K,10,FALSE()),"")</f>
        <v>3226098</v>
      </c>
      <c r="H41" s="0" t="str">
        <f aca="false">IFERROR(VLOOKUP(A41,카카오선물하기!B:I,8,FALSE()),"")</f>
        <v/>
      </c>
      <c r="I41" s="0" t="str">
        <f aca="false">IFERROR(VLOOKUP(A41,카카오선물하기!B:J,9,FALSE()),"")</f>
        <v/>
      </c>
      <c r="J41" s="0" t="n">
        <f aca="false">IFERROR(VLOOKUP(A41,자사몰!A:F,6,FALSE()),"")</f>
        <v>105</v>
      </c>
      <c r="K41" s="0" t="n">
        <f aca="false">IFERROR(VLOOKUP(A41,자사몰!A:G,7,FALSE()),"")</f>
        <v>850500</v>
      </c>
      <c r="L41" s="0" t="n">
        <f aca="false">IFERROR(SUM(D41,F41,H41,J41),"")</f>
        <v>640</v>
      </c>
      <c r="M41" s="0" t="n">
        <f aca="false">IFERROR(SUM(E41,G41,I41,K41),"")</f>
        <v>5126704</v>
      </c>
    </row>
    <row r="42" customFormat="false" ht="15" hidden="false" customHeight="false" outlineLevel="0" collapsed="false">
      <c r="A42" s="0" t="s">
        <v>53</v>
      </c>
      <c r="B42" s="0" t="str">
        <f aca="false">IFERROR(VLOOKUP(A42,상품마스터!A:D,4,FALSE()),"")</f>
        <v>말차 400g</v>
      </c>
      <c r="C42" s="0" t="str">
        <f aca="false">IFERROR(VLOOKUP(A42,상품마스터!A:C,3,FALSE()),"")</f>
        <v>그래놀라</v>
      </c>
      <c r="D42" s="0" t="n">
        <f aca="false">IFERROR(VLOOKUP(A42,스마트스토어!B:I,8,FALSE()),"")</f>
        <v>371</v>
      </c>
      <c r="E42" s="0" t="n">
        <f aca="false">IFERROR(VLOOKUP(A42,스마트스토어!B:J,9,FALSE()),"")</f>
        <v>3821671</v>
      </c>
      <c r="F42" s="0" t="n">
        <f aca="false">IFERROR(VLOOKUP(A42,쿠팡!B:J,9,FALSE()),"")</f>
        <v>110</v>
      </c>
      <c r="G42" s="0" t="n">
        <f aca="false">IFERROR(VLOOKUP(A42,쿠팡!B:K,10,FALSE()),"")</f>
        <v>1055450</v>
      </c>
      <c r="H42" s="0" t="str">
        <f aca="false">IFERROR(VLOOKUP(A42,카카오선물하기!B:I,8,FALSE()),"")</f>
        <v/>
      </c>
      <c r="I42" s="0" t="str">
        <f aca="false">IFERROR(VLOOKUP(A42,카카오선물하기!B:J,9,FALSE()),"")</f>
        <v/>
      </c>
      <c r="J42" s="0" t="n">
        <f aca="false">IFERROR(VLOOKUP(A42,자사몰!A:F,6,FALSE()),"")</f>
        <v>12</v>
      </c>
      <c r="K42" s="0" t="n">
        <f aca="false">IFERROR(VLOOKUP(A42,자사몰!A:G,7,FALSE()),"")</f>
        <v>103488</v>
      </c>
      <c r="L42" s="0" t="n">
        <f aca="false">IFERROR(SUM(D42,F42,H42,J42),"")</f>
        <v>493</v>
      </c>
      <c r="M42" s="0" t="n">
        <f aca="false">IFERROR(SUM(E42,G42,I42,K42),"")</f>
        <v>4980609</v>
      </c>
    </row>
    <row r="43" customFormat="false" ht="15" hidden="false" customHeight="false" outlineLevel="0" collapsed="false">
      <c r="A43" s="0" t="s">
        <v>54</v>
      </c>
      <c r="B43" s="0" t="str">
        <f aca="false">IFERROR(VLOOKUP(A43,상품마스터!A:D,4,FALSE()),"")</f>
        <v>꿀귀리 400g</v>
      </c>
      <c r="C43" s="0" t="str">
        <f aca="false">IFERROR(VLOOKUP(A43,상품마스터!A:C,3,FALSE()),"")</f>
        <v>그래놀라</v>
      </c>
      <c r="D43" s="0" t="n">
        <f aca="false">IFERROR(VLOOKUP(A43,스마트스토어!B:I,8,FALSE()),"")</f>
        <v>358</v>
      </c>
      <c r="E43" s="0" t="n">
        <f aca="false">IFERROR(VLOOKUP(A43,스마트스토어!B:J,9,FALSE()),"")</f>
        <v>3164362</v>
      </c>
      <c r="F43" s="0" t="n">
        <f aca="false">IFERROR(VLOOKUP(A43,쿠팡!B:J,9,FALSE()),"")</f>
        <v>132</v>
      </c>
      <c r="G43" s="0" t="n">
        <f aca="false">IFERROR(VLOOKUP(A43,쿠팡!B:K,10,FALSE()),"")</f>
        <v>1134012</v>
      </c>
      <c r="H43" s="0" t="str">
        <f aca="false">IFERROR(VLOOKUP(A43,카카오선물하기!B:I,8,FALSE()),"")</f>
        <v/>
      </c>
      <c r="I43" s="0" t="str">
        <f aca="false">IFERROR(VLOOKUP(A43,카카오선물하기!B:J,9,FALSE()),"")</f>
        <v/>
      </c>
      <c r="J43" s="0" t="n">
        <f aca="false">IFERROR(VLOOKUP(A43,자사몰!A:F,6,FALSE()),"")</f>
        <v>103</v>
      </c>
      <c r="K43" s="0" t="n">
        <f aca="false">IFERROR(VLOOKUP(A43,자사몰!A:G,7,FALSE()),"")</f>
        <v>797632</v>
      </c>
      <c r="L43" s="0" t="n">
        <f aca="false">IFERROR(SUM(D43,F43,H43,J43),"")</f>
        <v>593</v>
      </c>
      <c r="M43" s="0" t="n">
        <f aca="false">IFERROR(SUM(E43,G43,I43,K43),"")</f>
        <v>5096006</v>
      </c>
    </row>
    <row r="44" customFormat="false" ht="15" hidden="false" customHeight="false" outlineLevel="0" collapsed="false">
      <c r="A44" s="0" t="s">
        <v>55</v>
      </c>
      <c r="B44" s="0" t="str">
        <f aca="false">IFERROR(VLOOKUP(A44,상품마스터!A:D,4,FALSE()),"")</f>
        <v>트로피컬 400g</v>
      </c>
      <c r="C44" s="0" t="str">
        <f aca="false">IFERROR(VLOOKUP(A44,상품마스터!A:C,3,FALSE()),"")</f>
        <v>그래놀라</v>
      </c>
      <c r="D44" s="0" t="n">
        <f aca="false">IFERROR(VLOOKUP(A44,스마트스토어!B:I,8,FALSE()),"")</f>
        <v>419</v>
      </c>
      <c r="E44" s="0" t="n">
        <f aca="false">IFERROR(VLOOKUP(A44,스마트스토어!B:J,9,FALSE()),"")</f>
        <v>4098658</v>
      </c>
      <c r="F44" s="0" t="n">
        <f aca="false">IFERROR(VLOOKUP(A44,쿠팡!B:J,9,FALSE()),"")</f>
        <v>17</v>
      </c>
      <c r="G44" s="0" t="n">
        <f aca="false">IFERROR(VLOOKUP(A44,쿠팡!B:K,10,FALSE()),"")</f>
        <v>160718</v>
      </c>
      <c r="H44" s="0" t="str">
        <f aca="false">IFERROR(VLOOKUP(A44,카카오선물하기!B:I,8,FALSE()),"")</f>
        <v/>
      </c>
      <c r="I44" s="0" t="str">
        <f aca="false">IFERROR(VLOOKUP(A44,카카오선물하기!B:J,9,FALSE()),"")</f>
        <v/>
      </c>
      <c r="J44" s="0" t="n">
        <f aca="false">IFERROR(VLOOKUP(A44,자사몰!A:F,6,FALSE()),"")</f>
        <v>117</v>
      </c>
      <c r="K44" s="0" t="n">
        <f aca="false">IFERROR(VLOOKUP(A44,자사몰!A:G,7,FALSE()),"")</f>
        <v>957528</v>
      </c>
      <c r="L44" s="0" t="n">
        <f aca="false">IFERROR(SUM(D44,F44,H44,J44),"")</f>
        <v>553</v>
      </c>
      <c r="M44" s="0" t="n">
        <f aca="false">IFERROR(SUM(E44,G44,I44,K44),"")</f>
        <v>5216904</v>
      </c>
    </row>
    <row r="45" customFormat="false" ht="15" hidden="false" customHeight="false" outlineLevel="0" collapsed="false">
      <c r="A45" s="0" t="s">
        <v>56</v>
      </c>
      <c r="B45" s="0" t="str">
        <f aca="false">IFERROR(VLOOKUP(A45,상품마스터!A:D,4,FALSE()),"")</f>
        <v>팥앙금 400g</v>
      </c>
      <c r="C45" s="0" t="str">
        <f aca="false">IFERROR(VLOOKUP(A45,상품마스터!A:C,3,FALSE()),"")</f>
        <v>그래놀라</v>
      </c>
      <c r="D45" s="0" t="n">
        <f aca="false">IFERROR(VLOOKUP(A45,스마트스토어!B:I,8,FALSE()),"")</f>
        <v>148</v>
      </c>
      <c r="E45" s="0" t="n">
        <f aca="false">IFERROR(VLOOKUP(A45,스마트스토어!B:J,9,FALSE()),"")</f>
        <v>1516260</v>
      </c>
      <c r="F45" s="0" t="n">
        <f aca="false">IFERROR(VLOOKUP(A45,쿠팡!B:J,9,FALSE()),"")</f>
        <v>559</v>
      </c>
      <c r="G45" s="0" t="n">
        <f aca="false">IFERROR(VLOOKUP(A45,쿠팡!B:K,10,FALSE()),"")</f>
        <v>5123235</v>
      </c>
      <c r="H45" s="0" t="str">
        <f aca="false">IFERROR(VLOOKUP(A45,카카오선물하기!B:I,8,FALSE()),"")</f>
        <v/>
      </c>
      <c r="I45" s="0" t="str">
        <f aca="false">IFERROR(VLOOKUP(A45,카카오선물하기!B:J,9,FALSE()),"")</f>
        <v/>
      </c>
      <c r="J45" s="0" t="n">
        <f aca="false">IFERROR(VLOOKUP(A45,자사몰!A:F,6,FALSE()),"")</f>
        <v>57</v>
      </c>
      <c r="K45" s="0" t="n">
        <f aca="false">IFERROR(VLOOKUP(A45,자사몰!A:G,7,FALSE()),"")</f>
        <v>476520</v>
      </c>
      <c r="L45" s="0" t="n">
        <f aca="false">IFERROR(SUM(D45,F45,H45,J45),"")</f>
        <v>764</v>
      </c>
      <c r="M45" s="0" t="n">
        <f aca="false">IFERROR(SUM(E45,G45,I45,K45),"")</f>
        <v>7116015</v>
      </c>
    </row>
    <row r="46" customFormat="false" ht="15" hidden="false" customHeight="false" outlineLevel="0" collapsed="false">
      <c r="A46" s="0" t="s">
        <v>57</v>
      </c>
      <c r="B46" s="0" t="str">
        <f aca="false">IFERROR(VLOOKUP(A46,상품마스터!A:D,4,FALSE()),"")</f>
        <v>흑임자 400g</v>
      </c>
      <c r="C46" s="0" t="str">
        <f aca="false">IFERROR(VLOOKUP(A46,상품마스터!A:C,3,FALSE()),"")</f>
        <v>그래놀라</v>
      </c>
      <c r="D46" s="0" t="n">
        <f aca="false">IFERROR(VLOOKUP(A46,스마트스토어!B:I,8,FALSE()),"")</f>
        <v>37</v>
      </c>
      <c r="E46" s="0" t="n">
        <f aca="false">IFERROR(VLOOKUP(A46,스마트스토어!B:J,9,FALSE()),"")</f>
        <v>350612</v>
      </c>
      <c r="F46" s="0" t="n">
        <f aca="false">IFERROR(VLOOKUP(A46,쿠팡!B:J,9,FALSE()),"")</f>
        <v>193</v>
      </c>
      <c r="G46" s="0" t="n">
        <f aca="false">IFERROR(VLOOKUP(A46,쿠팡!B:K,10,FALSE()),"")</f>
        <v>1817481</v>
      </c>
      <c r="H46" s="0" t="str">
        <f aca="false">IFERROR(VLOOKUP(A46,카카오선물하기!B:I,8,FALSE()),"")</f>
        <v/>
      </c>
      <c r="I46" s="0" t="str">
        <f aca="false">IFERROR(VLOOKUP(A46,카카오선물하기!B:J,9,FALSE()),"")</f>
        <v/>
      </c>
      <c r="J46" s="0" t="n">
        <f aca="false">IFERROR(VLOOKUP(A46,자사몰!A:F,6,FALSE()),"")</f>
        <v>65</v>
      </c>
      <c r="K46" s="0" t="n">
        <f aca="false">IFERROR(VLOOKUP(A46,자사몰!A:G,7,FALSE()),"")</f>
        <v>585000</v>
      </c>
      <c r="L46" s="0" t="n">
        <f aca="false">IFERROR(SUM(D46,F46,H46,J46),"")</f>
        <v>295</v>
      </c>
      <c r="M46" s="0" t="n">
        <f aca="false">IFERROR(SUM(E46,G46,I46,K46),"")</f>
        <v>2753093</v>
      </c>
    </row>
    <row r="47" customFormat="false" ht="15" hidden="false" customHeight="false" outlineLevel="0" collapsed="false">
      <c r="A47" s="0" t="s">
        <v>58</v>
      </c>
      <c r="B47" s="0" t="str">
        <f aca="false">IFERROR(VLOOKUP(A47,상품마스터!A:D,4,FALSE()),"")</f>
        <v>오리지널 1kg</v>
      </c>
      <c r="C47" s="0" t="str">
        <f aca="false">IFERROR(VLOOKUP(A47,상품마스터!A:C,3,FALSE()),"")</f>
        <v>그래놀라</v>
      </c>
      <c r="D47" s="0" t="n">
        <f aca="false">IFERROR(VLOOKUP(A47,스마트스토어!B:I,8,FALSE()),"")</f>
        <v>31</v>
      </c>
      <c r="E47" s="0" t="n">
        <f aca="false">IFERROR(VLOOKUP(A47,스마트스토어!B:J,9,FALSE()),"")</f>
        <v>578770</v>
      </c>
      <c r="F47" s="0" t="n">
        <f aca="false">IFERROR(VLOOKUP(A47,쿠팡!B:J,9,FALSE()),"")</f>
        <v>119</v>
      </c>
      <c r="G47" s="0" t="n">
        <f aca="false">IFERROR(VLOOKUP(A47,쿠팡!B:K,10,FALSE()),"")</f>
        <v>2112131</v>
      </c>
      <c r="H47" s="0" t="str">
        <f aca="false">IFERROR(VLOOKUP(A47,카카오선물하기!B:I,8,FALSE()),"")</f>
        <v/>
      </c>
      <c r="I47" s="0" t="str">
        <f aca="false">IFERROR(VLOOKUP(A47,카카오선물하기!B:J,9,FALSE()),"")</f>
        <v/>
      </c>
      <c r="J47" s="0" t="n">
        <f aca="false">IFERROR(VLOOKUP(A47,자사몰!A:F,6,FALSE()),"")</f>
        <v>78</v>
      </c>
      <c r="K47" s="0" t="n">
        <f aca="false">IFERROR(VLOOKUP(A47,자사몰!A:G,7,FALSE()),"")</f>
        <v>1263600</v>
      </c>
      <c r="L47" s="0" t="n">
        <f aca="false">IFERROR(SUM(D47,F47,H47,J47),"")</f>
        <v>228</v>
      </c>
      <c r="M47" s="0" t="n">
        <f aca="false">IFERROR(SUM(E47,G47,I47,K47),"")</f>
        <v>3954501</v>
      </c>
    </row>
    <row r="48" customFormat="false" ht="15" hidden="false" customHeight="false" outlineLevel="0" collapsed="false">
      <c r="A48" s="0" t="s">
        <v>59</v>
      </c>
      <c r="B48" s="0" t="str">
        <f aca="false">IFERROR(VLOOKUP(A48,상품마스터!A:D,4,FALSE()),"")</f>
        <v>다크초코 1kg</v>
      </c>
      <c r="C48" s="0" t="str">
        <f aca="false">IFERROR(VLOOKUP(A48,상품마스터!A:C,3,FALSE()),"")</f>
        <v>그래놀라</v>
      </c>
      <c r="D48" s="0" t="n">
        <f aca="false">IFERROR(VLOOKUP(A48,스마트스토어!B:I,8,FALSE()),"")</f>
        <v>259</v>
      </c>
      <c r="E48" s="0" t="n">
        <f aca="false">IFERROR(VLOOKUP(A48,스마트스토어!B:J,9,FALSE()),"")</f>
        <v>4858063</v>
      </c>
      <c r="F48" s="0" t="n">
        <f aca="false">IFERROR(VLOOKUP(A48,쿠팡!B:J,9,FALSE()),"")</f>
        <v>443</v>
      </c>
      <c r="G48" s="0" t="n">
        <f aca="false">IFERROR(VLOOKUP(A48,쿠팡!B:K,10,FALSE()),"")</f>
        <v>8949043</v>
      </c>
      <c r="H48" s="0" t="str">
        <f aca="false">IFERROR(VLOOKUP(A48,카카오선물하기!B:I,8,FALSE()),"")</f>
        <v/>
      </c>
      <c r="I48" s="0" t="str">
        <f aca="false">IFERROR(VLOOKUP(A48,카카오선물하기!B:J,9,FALSE()),"")</f>
        <v/>
      </c>
      <c r="J48" s="0" t="n">
        <f aca="false">IFERROR(VLOOKUP(A48,자사몰!A:F,6,FALSE()),"")</f>
        <v>80</v>
      </c>
      <c r="K48" s="0" t="n">
        <f aca="false">IFERROR(VLOOKUP(A48,자사몰!A:G,7,FALSE()),"")</f>
        <v>1372800</v>
      </c>
      <c r="L48" s="0" t="n">
        <f aca="false">IFERROR(SUM(D48,F48,H48,J48),"")</f>
        <v>782</v>
      </c>
      <c r="M48" s="0" t="n">
        <f aca="false">IFERROR(SUM(E48,G48,I48,K48),"")</f>
        <v>15179906</v>
      </c>
    </row>
    <row r="49" customFormat="false" ht="15" hidden="false" customHeight="false" outlineLevel="0" collapsed="false">
      <c r="A49" s="0" t="s">
        <v>60</v>
      </c>
      <c r="B49" s="0" t="str">
        <f aca="false">IFERROR(VLOOKUP(A49,상품마스터!A:D,4,FALSE()),"")</f>
        <v>베리믹스 1kg</v>
      </c>
      <c r="C49" s="0" t="str">
        <f aca="false">IFERROR(VLOOKUP(A49,상품마스터!A:C,3,FALSE()),"")</f>
        <v>그래놀라</v>
      </c>
      <c r="D49" s="0" t="n">
        <f aca="false">IFERROR(VLOOKUP(A49,스마트스토어!B:I,8,FALSE()),"")</f>
        <v>435</v>
      </c>
      <c r="E49" s="0" t="n">
        <f aca="false">IFERROR(VLOOKUP(A49,스마트스토어!B:J,9,FALSE()),"")</f>
        <v>9015375</v>
      </c>
      <c r="F49" s="0" t="n">
        <f aca="false">IFERROR(VLOOKUP(A49,쿠팡!B:J,9,FALSE()),"")</f>
        <v>317</v>
      </c>
      <c r="G49" s="0" t="n">
        <f aca="false">IFERROR(VLOOKUP(A49,쿠팡!B:K,10,FALSE()),"")</f>
        <v>6158359</v>
      </c>
      <c r="H49" s="0" t="str">
        <f aca="false">IFERROR(VLOOKUP(A49,카카오선물하기!B:I,8,FALSE()),"")</f>
        <v/>
      </c>
      <c r="I49" s="0" t="str">
        <f aca="false">IFERROR(VLOOKUP(A49,카카오선물하기!B:J,9,FALSE()),"")</f>
        <v/>
      </c>
      <c r="J49" s="0" t="n">
        <f aca="false">IFERROR(VLOOKUP(A49,자사몰!A:F,6,FALSE()),"")</f>
        <v>31</v>
      </c>
      <c r="K49" s="0" t="n">
        <f aca="false">IFERROR(VLOOKUP(A49,자사몰!A:G,7,FALSE()),"")</f>
        <v>545600</v>
      </c>
      <c r="L49" s="0" t="n">
        <f aca="false">IFERROR(SUM(D49,F49,H49,J49),"")</f>
        <v>783</v>
      </c>
      <c r="M49" s="0" t="n">
        <f aca="false">IFERROR(SUM(E49,G49,I49,K49),"")</f>
        <v>15719334</v>
      </c>
    </row>
    <row r="50" customFormat="false" ht="15" hidden="false" customHeight="false" outlineLevel="0" collapsed="false">
      <c r="A50" s="0" t="s">
        <v>61</v>
      </c>
      <c r="B50" s="0" t="str">
        <f aca="false">IFERROR(VLOOKUP(A50,상품마스터!A:D,4,FALSE()),"")</f>
        <v>미니팩 30g x 10</v>
      </c>
      <c r="C50" s="0" t="str">
        <f aca="false">IFERROR(VLOOKUP(A50,상품마스터!A:C,3,FALSE()),"")</f>
        <v>그래놀라</v>
      </c>
      <c r="D50" s="0" t="str">
        <f aca="false">IFERROR(VLOOKUP(A50,스마트스토어!B:I,8,FALSE()),"")</f>
        <v/>
      </c>
      <c r="E50" s="0" t="str">
        <f aca="false">IFERROR(VLOOKUP(A50,스마트스토어!B:J,9,FALSE()),"")</f>
        <v/>
      </c>
      <c r="F50" s="0" t="n">
        <f aca="false">IFERROR(VLOOKUP(A50,쿠팡!B:J,9,FALSE()),"")</f>
        <v>113</v>
      </c>
      <c r="G50" s="0" t="n">
        <f aca="false">IFERROR(VLOOKUP(A50,쿠팡!B:K,10,FALSE()),"")</f>
        <v>1313625</v>
      </c>
      <c r="H50" s="0" t="str">
        <f aca="false">IFERROR(VLOOKUP(A50,카카오선물하기!B:I,8,FALSE()),"")</f>
        <v/>
      </c>
      <c r="I50" s="0" t="str">
        <f aca="false">IFERROR(VLOOKUP(A50,카카오선물하기!B:J,9,FALSE()),"")</f>
        <v/>
      </c>
      <c r="J50" s="0" t="n">
        <f aca="false">IFERROR(VLOOKUP(A50,자사몰!A:F,6,FALSE()),"")</f>
        <v>138</v>
      </c>
      <c r="K50" s="0" t="n">
        <f aca="false">IFERROR(VLOOKUP(A50,자사몰!A:G,7,FALSE()),"")</f>
        <v>1407600</v>
      </c>
      <c r="L50" s="0" t="n">
        <f aca="false">IFERROR(SUM(D50,F50,H50,J50),"")</f>
        <v>251</v>
      </c>
      <c r="M50" s="0" t="n">
        <f aca="false">IFERROR(SUM(E50,G50,I50,K50),"")</f>
        <v>2721225</v>
      </c>
    </row>
    <row r="51" customFormat="false" ht="15" hidden="false" customHeight="false" outlineLevel="0" collapsed="false">
      <c r="A51" s="0" t="s">
        <v>62</v>
      </c>
      <c r="B51" s="0" t="str">
        <f aca="false">IFERROR(VLOOKUP(A51,상품마스터!A:D,4,FALSE()),"")</f>
        <v>미니팩 30g x 20</v>
      </c>
      <c r="C51" s="0" t="str">
        <f aca="false">IFERROR(VLOOKUP(A51,상품마스터!A:C,3,FALSE()),"")</f>
        <v>그래놀라</v>
      </c>
      <c r="D51" s="0" t="n">
        <f aca="false">IFERROR(VLOOKUP(A51,스마트스토어!B:I,8,FALSE()),"")</f>
        <v>274</v>
      </c>
      <c r="E51" s="0" t="n">
        <f aca="false">IFERROR(VLOOKUP(A51,스마트스토어!B:J,9,FALSE()),"")</f>
        <v>6190756</v>
      </c>
      <c r="F51" s="0" t="n">
        <f aca="false">IFERROR(VLOOKUP(A51,쿠팡!B:J,9,FALSE()),"")</f>
        <v>545</v>
      </c>
      <c r="G51" s="0" t="n">
        <f aca="false">IFERROR(VLOOKUP(A51,쿠팡!B:K,10,FALSE()),"")</f>
        <v>11741480</v>
      </c>
      <c r="H51" s="0" t="str">
        <f aca="false">IFERROR(VLOOKUP(A51,카카오선물하기!B:I,8,FALSE()),"")</f>
        <v/>
      </c>
      <c r="I51" s="0" t="str">
        <f aca="false">IFERROR(VLOOKUP(A51,카카오선물하기!B:J,9,FALSE()),"")</f>
        <v/>
      </c>
      <c r="J51" s="0" t="n">
        <f aca="false">IFERROR(VLOOKUP(A51,자사몰!A:F,6,FALSE()),"")</f>
        <v>96</v>
      </c>
      <c r="K51" s="0" t="n">
        <f aca="false">IFERROR(VLOOKUP(A51,자사몰!A:G,7,FALSE()),"")</f>
        <v>1858560</v>
      </c>
      <c r="L51" s="0" t="n">
        <f aca="false">IFERROR(SUM(D51,F51,H51,J51),"")</f>
        <v>915</v>
      </c>
      <c r="M51" s="0" t="n">
        <f aca="false">IFERROR(SUM(E51,G51,I51,K51),"")</f>
        <v>19790796</v>
      </c>
    </row>
    <row r="52" customFormat="false" ht="15" hidden="false" customHeight="false" outlineLevel="0" collapsed="false">
      <c r="A52" s="0" t="s">
        <v>63</v>
      </c>
      <c r="B52" s="0" t="str">
        <f aca="false">IFERROR(VLOOKUP(A52,상품마스터!A:D,4,FALSE()),"")</f>
        <v>오리지널 200g</v>
      </c>
      <c r="C52" s="0" t="str">
        <f aca="false">IFERROR(VLOOKUP(A52,상품마스터!A:C,3,FALSE()),"")</f>
        <v>그래놀라</v>
      </c>
      <c r="D52" s="0" t="n">
        <f aca="false">IFERROR(VLOOKUP(A52,스마트스토어!B:I,8,FALSE()),"")</f>
        <v>285</v>
      </c>
      <c r="E52" s="0" t="n">
        <f aca="false">IFERROR(VLOOKUP(A52,스마트스토어!B:J,9,FALSE()),"")</f>
        <v>1261980</v>
      </c>
      <c r="F52" s="0" t="str">
        <f aca="false">IFERROR(VLOOKUP(A52,쿠팡!B:J,9,FALSE()),"")</f>
        <v/>
      </c>
      <c r="G52" s="0" t="str">
        <f aca="false">IFERROR(VLOOKUP(A52,쿠팡!B:K,10,FALSE()),"")</f>
        <v/>
      </c>
      <c r="H52" s="0" t="str">
        <f aca="false">IFERROR(VLOOKUP(A52,카카오선물하기!B:I,8,FALSE()),"")</f>
        <v/>
      </c>
      <c r="I52" s="0" t="str">
        <f aca="false">IFERROR(VLOOKUP(A52,카카오선물하기!B:J,9,FALSE()),"")</f>
        <v/>
      </c>
      <c r="J52" s="0" t="n">
        <f aca="false">IFERROR(VLOOKUP(A52,자사몰!A:F,6,FALSE()),"")</f>
        <v>59</v>
      </c>
      <c r="K52" s="0" t="n">
        <f aca="false">IFERROR(VLOOKUP(A52,자사몰!A:G,7,FALSE()),"")</f>
        <v>291460</v>
      </c>
      <c r="L52" s="0" t="n">
        <f aca="false">IFERROR(SUM(D52,F52,H52,J52),"")</f>
        <v>344</v>
      </c>
      <c r="M52" s="0" t="n">
        <f aca="false">IFERROR(SUM(E52,G52,I52,K52),"")</f>
        <v>1553440</v>
      </c>
    </row>
    <row r="53" customFormat="false" ht="15" hidden="false" customHeight="false" outlineLevel="0" collapsed="false">
      <c r="A53" s="0" t="s">
        <v>64</v>
      </c>
      <c r="B53" s="0" t="str">
        <f aca="false">IFERROR(VLOOKUP(A53,상품마스터!A:D,4,FALSE()),"")</f>
        <v>다크초코 200g</v>
      </c>
      <c r="C53" s="0" t="str">
        <f aca="false">IFERROR(VLOOKUP(A53,상품마스터!A:C,3,FALSE()),"")</f>
        <v>그래놀라</v>
      </c>
      <c r="D53" s="0" t="str">
        <f aca="false">IFERROR(VLOOKUP(A53,스마트스토어!B:I,8,FALSE()),"")</f>
        <v/>
      </c>
      <c r="E53" s="0" t="str">
        <f aca="false">IFERROR(VLOOKUP(A53,스마트스토어!B:J,9,FALSE()),"")</f>
        <v/>
      </c>
      <c r="F53" s="0" t="n">
        <f aca="false">IFERROR(VLOOKUP(A53,쿠팡!B:J,9,FALSE()),"")</f>
        <v>129</v>
      </c>
      <c r="G53" s="0" t="n">
        <f aca="false">IFERROR(VLOOKUP(A53,쿠팡!B:K,10,FALSE()),"")</f>
        <v>626295</v>
      </c>
      <c r="H53" s="0" t="str">
        <f aca="false">IFERROR(VLOOKUP(A53,카카오선물하기!B:I,8,FALSE()),"")</f>
        <v/>
      </c>
      <c r="I53" s="0" t="str">
        <f aca="false">IFERROR(VLOOKUP(A53,카카오선물하기!B:J,9,FALSE()),"")</f>
        <v/>
      </c>
      <c r="J53" s="0" t="n">
        <f aca="false">IFERROR(VLOOKUP(A53,자사몰!A:F,6,FALSE()),"")</f>
        <v>127</v>
      </c>
      <c r="K53" s="0" t="n">
        <f aca="false">IFERROR(VLOOKUP(A53,자사몰!A:G,7,FALSE()),"")</f>
        <v>628650</v>
      </c>
      <c r="L53" s="0" t="n">
        <f aca="false">IFERROR(SUM(D53,F53,H53,J53),"")</f>
        <v>256</v>
      </c>
      <c r="M53" s="0" t="n">
        <f aca="false">IFERROR(SUM(E53,G53,I53,K53),"")</f>
        <v>1254945</v>
      </c>
    </row>
    <row r="54" customFormat="false" ht="15" hidden="false" customHeight="false" outlineLevel="0" collapsed="false">
      <c r="A54" s="0" t="s">
        <v>65</v>
      </c>
      <c r="B54" s="0" t="str">
        <f aca="false">IFERROR(VLOOKUP(A54,상품마스터!A:D,4,FALSE()),"")</f>
        <v>무화과잼 250g</v>
      </c>
      <c r="C54" s="0" t="str">
        <f aca="false">IFERROR(VLOOKUP(A54,상품마스터!A:C,3,FALSE()),"")</f>
        <v>잼/스프레드</v>
      </c>
      <c r="D54" s="0" t="n">
        <f aca="false">IFERROR(VLOOKUP(A54,스마트스토어!B:I,8,FALSE()),"")</f>
        <v>38</v>
      </c>
      <c r="E54" s="0" t="n">
        <f aca="false">IFERROR(VLOOKUP(A54,스마트스토어!B:J,9,FALSE()),"")</f>
        <v>483284</v>
      </c>
      <c r="F54" s="0" t="n">
        <f aca="false">IFERROR(VLOOKUP(A54,쿠팡!B:J,9,FALSE()),"")</f>
        <v>434</v>
      </c>
      <c r="G54" s="0" t="n">
        <f aca="false">IFERROR(VLOOKUP(A54,쿠팡!B:K,10,FALSE()),"")</f>
        <v>4886406</v>
      </c>
      <c r="H54" s="0" t="n">
        <f aca="false">IFERROR(VLOOKUP(A54,카카오선물하기!B:I,8,FALSE()),"")</f>
        <v>119</v>
      </c>
      <c r="I54" s="0" t="n">
        <f aca="false">IFERROR(VLOOKUP(A54,카카오선물하기!B:J,9,FALSE()),"")</f>
        <v>1403248</v>
      </c>
      <c r="J54" s="0" t="n">
        <f aca="false">IFERROR(VLOOKUP(A54,자사몰!A:F,6,FALSE()),"")</f>
        <v>91</v>
      </c>
      <c r="K54" s="0" t="n">
        <f aca="false">IFERROR(VLOOKUP(A54,자사몰!A:G,7,FALSE()),"")</f>
        <v>928200</v>
      </c>
      <c r="L54" s="0" t="n">
        <f aca="false">IFERROR(SUM(D54,F54,H54,J54),"")</f>
        <v>682</v>
      </c>
      <c r="M54" s="0" t="n">
        <f aca="false">IFERROR(SUM(E54,G54,I54,K54),"")</f>
        <v>7701138</v>
      </c>
    </row>
    <row r="55" customFormat="false" ht="15" hidden="false" customHeight="false" outlineLevel="0" collapsed="false">
      <c r="A55" s="0" t="s">
        <v>66</v>
      </c>
      <c r="B55" s="0" t="str">
        <f aca="false">IFERROR(VLOOKUP(A55,상품마스터!A:D,4,FALSE()),"")</f>
        <v>블루베리잼 250g</v>
      </c>
      <c r="C55" s="0" t="str">
        <f aca="false">IFERROR(VLOOKUP(A55,상품마스터!A:C,3,FALSE()),"")</f>
        <v>잼/스프레드</v>
      </c>
      <c r="D55" s="0" t="str">
        <f aca="false">IFERROR(VLOOKUP(A55,스마트스토어!B:I,8,FALSE()),"")</f>
        <v/>
      </c>
      <c r="E55" s="0" t="str">
        <f aca="false">IFERROR(VLOOKUP(A55,스마트스토어!B:J,9,FALSE()),"")</f>
        <v/>
      </c>
      <c r="F55" s="0" t="n">
        <f aca="false">IFERROR(VLOOKUP(A55,쿠팡!B:J,9,FALSE()),"")</f>
        <v>178</v>
      </c>
      <c r="G55" s="0" t="n">
        <f aca="false">IFERROR(VLOOKUP(A55,쿠팡!B:K,10,FALSE()),"")</f>
        <v>1713784</v>
      </c>
      <c r="H55" s="0" t="n">
        <f aca="false">IFERROR(VLOOKUP(A55,카카오선물하기!B:I,8,FALSE()),"")</f>
        <v>163</v>
      </c>
      <c r="I55" s="0" t="n">
        <f aca="false">IFERROR(VLOOKUP(A55,카카오선물하기!B:J,9,FALSE()),"")</f>
        <v>1912153</v>
      </c>
      <c r="J55" s="0" t="n">
        <f aca="false">IFERROR(VLOOKUP(A55,자사몰!A:F,6,FALSE()),"")</f>
        <v>85</v>
      </c>
      <c r="K55" s="0" t="n">
        <f aca="false">IFERROR(VLOOKUP(A55,자사몰!A:G,7,FALSE()),"")</f>
        <v>794750</v>
      </c>
      <c r="L55" s="0" t="n">
        <f aca="false">IFERROR(SUM(D55,F55,H55,J55),"")</f>
        <v>426</v>
      </c>
      <c r="M55" s="0" t="n">
        <f aca="false">IFERROR(SUM(E55,G55,I55,K55),"")</f>
        <v>4420687</v>
      </c>
    </row>
    <row r="56" customFormat="false" ht="15" hidden="false" customHeight="false" outlineLevel="0" collapsed="false">
      <c r="A56" s="0" t="s">
        <v>67</v>
      </c>
      <c r="B56" s="0" t="str">
        <f aca="false">IFERROR(VLOOKUP(A56,상품마스터!A:D,4,FALSE()),"")</f>
        <v>딸기잼 250g</v>
      </c>
      <c r="C56" s="0" t="str">
        <f aca="false">IFERROR(VLOOKUP(A56,상품마스터!A:C,3,FALSE()),"")</f>
        <v>잼/스프레드</v>
      </c>
      <c r="D56" s="0" t="n">
        <f aca="false">IFERROR(VLOOKUP(A56,스마트스토어!B:I,8,FALSE()),"")</f>
        <v>373</v>
      </c>
      <c r="E56" s="0" t="n">
        <f aca="false">IFERROR(VLOOKUP(A56,스마트스토어!B:J,9,FALSE()),"")</f>
        <v>3557674</v>
      </c>
      <c r="F56" s="0" t="n">
        <f aca="false">IFERROR(VLOOKUP(A56,쿠팡!B:J,9,FALSE()),"")</f>
        <v>543</v>
      </c>
      <c r="G56" s="0" t="n">
        <f aca="false">IFERROR(VLOOKUP(A56,쿠팡!B:K,10,FALSE()),"")</f>
        <v>5621679</v>
      </c>
      <c r="H56" s="0" t="n">
        <f aca="false">IFERROR(VLOOKUP(A56,카카오선물하기!B:I,8,FALSE()),"")</f>
        <v>217</v>
      </c>
      <c r="I56" s="0" t="n">
        <f aca="false">IFERROR(VLOOKUP(A56,카카오선물하기!B:J,9,FALSE()),"")</f>
        <v>2379405</v>
      </c>
      <c r="J56" s="0" t="n">
        <f aca="false">IFERROR(VLOOKUP(A56,자사몰!A:F,6,FALSE()),"")</f>
        <v>96</v>
      </c>
      <c r="K56" s="0" t="n">
        <f aca="false">IFERROR(VLOOKUP(A56,자사몰!A:G,7,FALSE()),"")</f>
        <v>816000</v>
      </c>
      <c r="L56" s="0" t="n">
        <f aca="false">IFERROR(SUM(D56,F56,H56,J56),"")</f>
        <v>1229</v>
      </c>
      <c r="M56" s="0" t="n">
        <f aca="false">IFERROR(SUM(E56,G56,I56,K56),"")</f>
        <v>12374758</v>
      </c>
    </row>
    <row r="57" customFormat="false" ht="15" hidden="false" customHeight="false" outlineLevel="0" collapsed="false">
      <c r="A57" s="0" t="s">
        <v>68</v>
      </c>
      <c r="B57" s="0" t="str">
        <f aca="false">IFERROR(VLOOKUP(A57,상품마스터!A:D,4,FALSE()),"")</f>
        <v>살구잼 250g</v>
      </c>
      <c r="C57" s="0" t="str">
        <f aca="false">IFERROR(VLOOKUP(A57,상품마스터!A:C,3,FALSE()),"")</f>
        <v>잼/스프레드</v>
      </c>
      <c r="D57" s="0" t="n">
        <f aca="false">IFERROR(VLOOKUP(A57,스마트스토어!B:I,8,FALSE()),"")</f>
        <v>99</v>
      </c>
      <c r="E57" s="0" t="n">
        <f aca="false">IFERROR(VLOOKUP(A57,스마트스토어!B:J,9,FALSE()),"")</f>
        <v>1107711</v>
      </c>
      <c r="F57" s="0" t="n">
        <f aca="false">IFERROR(VLOOKUP(A57,쿠팡!B:J,9,FALSE()),"")</f>
        <v>537</v>
      </c>
      <c r="G57" s="0" t="n">
        <f aca="false">IFERROR(VLOOKUP(A57,쿠팡!B:K,10,FALSE()),"")</f>
        <v>5020413</v>
      </c>
      <c r="H57" s="0" t="n">
        <f aca="false">IFERROR(VLOOKUP(A57,카카오선물하기!B:I,8,FALSE()),"")</f>
        <v>185</v>
      </c>
      <c r="I57" s="0" t="n">
        <f aca="false">IFERROR(VLOOKUP(A57,카카오선물하기!B:J,9,FALSE()),"")</f>
        <v>2390200</v>
      </c>
      <c r="J57" s="0" t="n">
        <f aca="false">IFERROR(VLOOKUP(A57,자사몰!A:F,6,FALSE()),"")</f>
        <v>135</v>
      </c>
      <c r="K57" s="0" t="n">
        <f aca="false">IFERROR(VLOOKUP(A57,자사몰!A:G,7,FALSE()),"")</f>
        <v>1366200</v>
      </c>
      <c r="L57" s="0" t="n">
        <f aca="false">IFERROR(SUM(D57,F57,H57,J57),"")</f>
        <v>956</v>
      </c>
      <c r="M57" s="0" t="n">
        <f aca="false">IFERROR(SUM(E57,G57,I57,K57),"")</f>
        <v>9884524</v>
      </c>
    </row>
    <row r="58" customFormat="false" ht="15" hidden="false" customHeight="false" outlineLevel="0" collapsed="false">
      <c r="A58" s="0" t="s">
        <v>69</v>
      </c>
      <c r="B58" s="0" t="str">
        <f aca="false">IFERROR(VLOOKUP(A58,상품마스터!A:D,4,FALSE()),"")</f>
        <v>아몬드버터 200g</v>
      </c>
      <c r="C58" s="0" t="str">
        <f aca="false">IFERROR(VLOOKUP(A58,상품마스터!A:C,3,FALSE()),"")</f>
        <v>잼/스프레드</v>
      </c>
      <c r="D58" s="0" t="n">
        <f aca="false">IFERROR(VLOOKUP(A58,스마트스토어!B:I,8,FALSE()),"")</f>
        <v>438</v>
      </c>
      <c r="E58" s="0" t="n">
        <f aca="false">IFERROR(VLOOKUP(A58,스마트스토어!B:J,9,FALSE()),"")</f>
        <v>6376842</v>
      </c>
      <c r="F58" s="0" t="n">
        <f aca="false">IFERROR(VLOOKUP(A58,쿠팡!B:J,9,FALSE()),"")</f>
        <v>187</v>
      </c>
      <c r="G58" s="0" t="n">
        <f aca="false">IFERROR(VLOOKUP(A58,쿠팡!B:K,10,FALSE()),"")</f>
        <v>2394722</v>
      </c>
      <c r="H58" s="0" t="n">
        <f aca="false">IFERROR(VLOOKUP(A58,카카오선물하기!B:I,8,FALSE()),"")</f>
        <v>126</v>
      </c>
      <c r="I58" s="0" t="n">
        <f aca="false">IFERROR(VLOOKUP(A58,카카오선물하기!B:J,9,FALSE()),"")</f>
        <v>1740690</v>
      </c>
      <c r="J58" s="0" t="n">
        <f aca="false">IFERROR(VLOOKUP(A58,자사몰!A:F,6,FALSE()),"")</f>
        <v>32</v>
      </c>
      <c r="K58" s="0" t="n">
        <f aca="false">IFERROR(VLOOKUP(A58,자사몰!A:G,7,FALSE()),"")</f>
        <v>426880</v>
      </c>
      <c r="L58" s="0" t="n">
        <f aca="false">IFERROR(SUM(D58,F58,H58,J58),"")</f>
        <v>783</v>
      </c>
      <c r="M58" s="0" t="n">
        <f aca="false">IFERROR(SUM(E58,G58,I58,K58),"")</f>
        <v>10939134</v>
      </c>
    </row>
    <row r="59" customFormat="false" ht="15" hidden="false" customHeight="false" outlineLevel="0" collapsed="false">
      <c r="A59" s="0" t="s">
        <v>70</v>
      </c>
      <c r="B59" s="0" t="str">
        <f aca="false">IFERROR(VLOOKUP(A59,상품마스터!A:D,4,FALSE()),"")</f>
        <v>캐슈넛버터 200g</v>
      </c>
      <c r="C59" s="0" t="str">
        <f aca="false">IFERROR(VLOOKUP(A59,상품마스터!A:C,3,FALSE()),"")</f>
        <v>잼/스프레드</v>
      </c>
      <c r="D59" s="0" t="n">
        <f aca="false">IFERROR(VLOOKUP(A59,스마트스토어!B:I,8,FALSE()),"")</f>
        <v>194</v>
      </c>
      <c r="E59" s="0" t="n">
        <f aca="false">IFERROR(VLOOKUP(A59,스마트스토어!B:J,9,FALSE()),"")</f>
        <v>2668082</v>
      </c>
      <c r="F59" s="0" t="n">
        <f aca="false">IFERROR(VLOOKUP(A59,쿠팡!B:J,9,FALSE()),"")</f>
        <v>598</v>
      </c>
      <c r="G59" s="0" t="n">
        <f aca="false">IFERROR(VLOOKUP(A59,쿠팡!B:K,10,FALSE()),"")</f>
        <v>7776990</v>
      </c>
      <c r="H59" s="0" t="n">
        <f aca="false">IFERROR(VLOOKUP(A59,카카오선물하기!B:I,8,FALSE()),"")</f>
        <v>191</v>
      </c>
      <c r="I59" s="0" t="n">
        <f aca="false">IFERROR(VLOOKUP(A59,카카오선물하기!B:J,9,FALSE()),"")</f>
        <v>3108334</v>
      </c>
      <c r="J59" s="0" t="n">
        <f aca="false">IFERROR(VLOOKUP(A59,자사몰!A:F,6,FALSE()),"")</f>
        <v>104</v>
      </c>
      <c r="K59" s="0" t="n">
        <f aca="false">IFERROR(VLOOKUP(A59,자사몰!A:G,7,FALSE()),"")</f>
        <v>1435200</v>
      </c>
      <c r="L59" s="0" t="n">
        <f aca="false">IFERROR(SUM(D59,F59,H59,J59),"")</f>
        <v>1087</v>
      </c>
      <c r="M59" s="0" t="n">
        <f aca="false">IFERROR(SUM(E59,G59,I59,K59),"")</f>
        <v>14988606</v>
      </c>
    </row>
    <row r="60" customFormat="false" ht="15" hidden="false" customHeight="false" outlineLevel="0" collapsed="false">
      <c r="A60" s="0" t="s">
        <v>71</v>
      </c>
      <c r="B60" s="0" t="str">
        <f aca="false">IFERROR(VLOOKUP(A60,상품마스터!A:D,4,FALSE()),"")</f>
        <v>피넛버터 200g</v>
      </c>
      <c r="C60" s="0" t="str">
        <f aca="false">IFERROR(VLOOKUP(A60,상품마스터!A:C,3,FALSE()),"")</f>
        <v>잼/스프레드</v>
      </c>
      <c r="D60" s="0" t="n">
        <f aca="false">IFERROR(VLOOKUP(A60,스마트스토어!B:I,8,FALSE()),"")</f>
        <v>83</v>
      </c>
      <c r="E60" s="0" t="n">
        <f aca="false">IFERROR(VLOOKUP(A60,스마트스토어!B:J,9,FALSE()),"")</f>
        <v>906692</v>
      </c>
      <c r="F60" s="0" t="n">
        <f aca="false">IFERROR(VLOOKUP(A60,쿠팡!B:J,9,FALSE()),"")</f>
        <v>186</v>
      </c>
      <c r="G60" s="0" t="n">
        <f aca="false">IFERROR(VLOOKUP(A60,쿠팡!B:K,10,FALSE()),"")</f>
        <v>1627128</v>
      </c>
      <c r="H60" s="0" t="n">
        <f aca="false">IFERROR(VLOOKUP(A60,카카오선물하기!B:I,8,FALSE()),"")</f>
        <v>76</v>
      </c>
      <c r="I60" s="0" t="n">
        <f aca="false">IFERROR(VLOOKUP(A60,카카오선물하기!B:J,9,FALSE()),"")</f>
        <v>931000</v>
      </c>
      <c r="J60" s="0" t="n">
        <f aca="false">IFERROR(VLOOKUP(A60,자사몰!A:F,6,FALSE()),"")</f>
        <v>104</v>
      </c>
      <c r="K60" s="0" t="n">
        <f aca="false">IFERROR(VLOOKUP(A60,자사몰!A:G,7,FALSE()),"")</f>
        <v>1029600</v>
      </c>
      <c r="L60" s="0" t="n">
        <f aca="false">IFERROR(SUM(D60,F60,H60,J60),"")</f>
        <v>449</v>
      </c>
      <c r="M60" s="0" t="n">
        <f aca="false">IFERROR(SUM(E60,G60,I60,K60),"")</f>
        <v>4494420</v>
      </c>
    </row>
    <row r="61" customFormat="false" ht="15" hidden="false" customHeight="false" outlineLevel="0" collapsed="false">
      <c r="A61" s="0" t="s">
        <v>72</v>
      </c>
      <c r="B61" s="0" t="str">
        <f aca="false">IFERROR(VLOOKUP(A61,상품마스터!A:D,4,FALSE()),"")</f>
        <v>헤이즐넛버터 200g</v>
      </c>
      <c r="C61" s="0" t="str">
        <f aca="false">IFERROR(VLOOKUP(A61,상품마스터!A:C,3,FALSE()),"")</f>
        <v>잼/스프레드</v>
      </c>
      <c r="D61" s="0" t="n">
        <f aca="false">IFERROR(VLOOKUP(A61,스마트스토어!B:I,8,FALSE()),"")</f>
        <v>359</v>
      </c>
      <c r="E61" s="0" t="n">
        <f aca="false">IFERROR(VLOOKUP(A61,스마트스토어!B:J,9,FALSE()),"")</f>
        <v>5983453</v>
      </c>
      <c r="F61" s="0" t="n">
        <f aca="false">IFERROR(VLOOKUP(A61,쿠팡!B:J,9,FALSE()),"")</f>
        <v>110</v>
      </c>
      <c r="G61" s="0" t="n">
        <f aca="false">IFERROR(VLOOKUP(A61,쿠팡!B:K,10,FALSE()),"")</f>
        <v>1654400</v>
      </c>
      <c r="H61" s="0" t="n">
        <f aca="false">IFERROR(VLOOKUP(A61,카카오선물하기!B:I,8,FALSE()),"")</f>
        <v>193</v>
      </c>
      <c r="I61" s="0" t="n">
        <f aca="false">IFERROR(VLOOKUP(A61,카카오선물하기!B:J,9,FALSE()),"")</f>
        <v>3471298</v>
      </c>
      <c r="J61" s="0" t="n">
        <f aca="false">IFERROR(VLOOKUP(A61,자사몰!A:F,6,FALSE()),"")</f>
        <v>86</v>
      </c>
      <c r="K61" s="0" t="n">
        <f aca="false">IFERROR(VLOOKUP(A61,자사몰!A:G,7,FALSE()),"")</f>
        <v>1238400</v>
      </c>
      <c r="L61" s="0" t="n">
        <f aca="false">IFERROR(SUM(D61,F61,H61,J61),"")</f>
        <v>748</v>
      </c>
      <c r="M61" s="0" t="n">
        <f aca="false">IFERROR(SUM(E61,G61,I61,K61),"")</f>
        <v>12347551</v>
      </c>
    </row>
    <row r="62" customFormat="false" ht="15" hidden="false" customHeight="false" outlineLevel="0" collapsed="false">
      <c r="A62" s="0" t="s">
        <v>73</v>
      </c>
      <c r="B62" s="0" t="str">
        <f aca="false">IFERROR(VLOOKUP(A62,상품마스터!A:D,4,FALSE()),"")</f>
        <v>무화과잼 500g</v>
      </c>
      <c r="C62" s="0" t="str">
        <f aca="false">IFERROR(VLOOKUP(A62,상품마스터!A:C,3,FALSE()),"")</f>
        <v>잼/스프레드</v>
      </c>
      <c r="D62" s="0" t="n">
        <f aca="false">IFERROR(VLOOKUP(A62,스마트스토어!B:I,8,FALSE()),"")</f>
        <v>367</v>
      </c>
      <c r="E62" s="0" t="n">
        <f aca="false">IFERROR(VLOOKUP(A62,스마트스토어!B:J,9,FALSE()),"")</f>
        <v>7641674</v>
      </c>
      <c r="F62" s="0" t="n">
        <f aca="false">IFERROR(VLOOKUP(A62,쿠팡!B:J,9,FALSE()),"")</f>
        <v>519</v>
      </c>
      <c r="G62" s="0" t="n">
        <f aca="false">IFERROR(VLOOKUP(A62,쿠팡!B:K,10,FALSE()),"")</f>
        <v>9298404</v>
      </c>
      <c r="H62" s="0" t="n">
        <f aca="false">IFERROR(VLOOKUP(A62,카카오선물하기!B:I,8,FALSE()),"")</f>
        <v>49</v>
      </c>
      <c r="I62" s="0" t="n">
        <f aca="false">IFERROR(VLOOKUP(A62,카카오선물하기!B:J,9,FALSE()),"")</f>
        <v>928942</v>
      </c>
      <c r="J62" s="0" t="n">
        <f aca="false">IFERROR(VLOOKUP(A62,자사몰!A:F,6,FALSE()),"")</f>
        <v>103</v>
      </c>
      <c r="K62" s="0" t="n">
        <f aca="false">IFERROR(VLOOKUP(A62,자사몰!A:G,7,FALSE()),"")</f>
        <v>1957000</v>
      </c>
      <c r="L62" s="0" t="n">
        <f aca="false">IFERROR(SUM(D62,F62,H62,J62),"")</f>
        <v>1038</v>
      </c>
      <c r="M62" s="0" t="n">
        <f aca="false">IFERROR(SUM(E62,G62,I62,K62),"")</f>
        <v>19826020</v>
      </c>
    </row>
    <row r="63" customFormat="false" ht="15" hidden="false" customHeight="false" outlineLevel="0" collapsed="false">
      <c r="A63" s="0" t="s">
        <v>74</v>
      </c>
      <c r="B63" s="0" t="str">
        <f aca="false">IFERROR(VLOOKUP(A63,상품마스터!A:D,4,FALSE()),"")</f>
        <v>블루베리잼 500g</v>
      </c>
      <c r="C63" s="0" t="str">
        <f aca="false">IFERROR(VLOOKUP(A63,상품마스터!A:C,3,FALSE()),"")</f>
        <v>잼/스프레드</v>
      </c>
      <c r="D63" s="0" t="n">
        <f aca="false">IFERROR(VLOOKUP(A63,스마트스토어!B:I,8,FALSE()),"")</f>
        <v>166</v>
      </c>
      <c r="E63" s="0" t="n">
        <f aca="false">IFERROR(VLOOKUP(A63,스마트스토어!B:J,9,FALSE()),"")</f>
        <v>2878938</v>
      </c>
      <c r="F63" s="0" t="n">
        <f aca="false">IFERROR(VLOOKUP(A63,쿠팡!B:J,9,FALSE()),"")</f>
        <v>201</v>
      </c>
      <c r="G63" s="0" t="n">
        <f aca="false">IFERROR(VLOOKUP(A63,쿠팡!B:K,10,FALSE()),"")</f>
        <v>3483330</v>
      </c>
      <c r="H63" s="0" t="n">
        <f aca="false">IFERROR(VLOOKUP(A63,카카오선물하기!B:I,8,FALSE()),"")</f>
        <v>115</v>
      </c>
      <c r="I63" s="0" t="n">
        <f aca="false">IFERROR(VLOOKUP(A63,카카오선물하기!B:J,9,FALSE()),"")</f>
        <v>2229735</v>
      </c>
      <c r="J63" s="0" t="n">
        <f aca="false">IFERROR(VLOOKUP(A63,자사몰!A:F,6,FALSE()),"")</f>
        <v>13</v>
      </c>
      <c r="K63" s="0" t="n">
        <f aca="false">IFERROR(VLOOKUP(A63,자사몰!A:G,7,FALSE()),"")</f>
        <v>222300</v>
      </c>
      <c r="L63" s="0" t="n">
        <f aca="false">IFERROR(SUM(D63,F63,H63,J63),"")</f>
        <v>495</v>
      </c>
      <c r="M63" s="0" t="n">
        <f aca="false">IFERROR(SUM(E63,G63,I63,K63),"")</f>
        <v>8814303</v>
      </c>
    </row>
    <row r="64" customFormat="false" ht="15" hidden="false" customHeight="false" outlineLevel="0" collapsed="false">
      <c r="A64" s="0" t="s">
        <v>75</v>
      </c>
      <c r="B64" s="0" t="str">
        <f aca="false">IFERROR(VLOOKUP(A64,상품마스터!A:D,4,FALSE()),"")</f>
        <v>딸기잼 500g</v>
      </c>
      <c r="C64" s="0" t="str">
        <f aca="false">IFERROR(VLOOKUP(A64,상품마스터!A:C,3,FALSE()),"")</f>
        <v>잼/스프레드</v>
      </c>
      <c r="D64" s="0" t="n">
        <f aca="false">IFERROR(VLOOKUP(A64,스마트스토어!B:I,8,FALSE()),"")</f>
        <v>177</v>
      </c>
      <c r="E64" s="0" t="n">
        <f aca="false">IFERROR(VLOOKUP(A64,스마트스토어!B:J,9,FALSE()),"")</f>
        <v>2581014</v>
      </c>
      <c r="F64" s="0" t="n">
        <f aca="false">IFERROR(VLOOKUP(A64,쿠팡!B:J,9,FALSE()),"")</f>
        <v>537</v>
      </c>
      <c r="G64" s="0" t="n">
        <f aca="false">IFERROR(VLOOKUP(A64,쿠팡!B:K,10,FALSE()),"")</f>
        <v>7652787</v>
      </c>
      <c r="H64" s="0" t="n">
        <f aca="false">IFERROR(VLOOKUP(A64,카카오선물하기!B:I,8,FALSE()),"")</f>
        <v>93</v>
      </c>
      <c r="I64" s="0" t="n">
        <f aca="false">IFERROR(VLOOKUP(A64,카카오선물하기!B:J,9,FALSE()),"")</f>
        <v>1577373</v>
      </c>
      <c r="J64" s="0" t="n">
        <f aca="false">IFERROR(VLOOKUP(A64,자사몰!A:F,6,FALSE()),"")</f>
        <v>129</v>
      </c>
      <c r="K64" s="0" t="n">
        <f aca="false">IFERROR(VLOOKUP(A64,자사몰!A:G,7,FALSE()),"")</f>
        <v>1898880</v>
      </c>
      <c r="L64" s="0" t="n">
        <f aca="false">IFERROR(SUM(D64,F64,H64,J64),"")</f>
        <v>936</v>
      </c>
      <c r="M64" s="0" t="n">
        <f aca="false">IFERROR(SUM(E64,G64,I64,K64),"")</f>
        <v>13710054</v>
      </c>
    </row>
    <row r="65" customFormat="false" ht="15" hidden="false" customHeight="false" outlineLevel="0" collapsed="false">
      <c r="A65" s="0" t="s">
        <v>76</v>
      </c>
      <c r="B65" s="0" t="str">
        <f aca="false">IFERROR(VLOOKUP(A65,상품마스터!A:D,4,FALSE()),"")</f>
        <v>아몬드버터 500g</v>
      </c>
      <c r="C65" s="0" t="str">
        <f aca="false">IFERROR(VLOOKUP(A65,상품마스터!A:C,3,FALSE()),"")</f>
        <v>잼/스프레드</v>
      </c>
      <c r="D65" s="0" t="n">
        <f aca="false">IFERROR(VLOOKUP(A65,스마트스토어!B:I,8,FALSE()),"")</f>
        <v>75</v>
      </c>
      <c r="E65" s="0" t="n">
        <f aca="false">IFERROR(VLOOKUP(A65,스마트스토어!B:J,9,FALSE()),"")</f>
        <v>1877925</v>
      </c>
      <c r="F65" s="0" t="n">
        <f aca="false">IFERROR(VLOOKUP(A65,쿠팡!B:J,9,FALSE()),"")</f>
        <v>495</v>
      </c>
      <c r="G65" s="0" t="n">
        <f aca="false">IFERROR(VLOOKUP(A65,쿠팡!B:K,10,FALSE()),"")</f>
        <v>12203730</v>
      </c>
      <c r="H65" s="0" t="n">
        <f aca="false">IFERROR(VLOOKUP(A65,카카오선물하기!B:I,8,FALSE()),"")</f>
        <v>105</v>
      </c>
      <c r="I65" s="0" t="n">
        <f aca="false">IFERROR(VLOOKUP(A65,카카오선물하기!B:J,9,FALSE()),"")</f>
        <v>2762130</v>
      </c>
      <c r="J65" s="0" t="n">
        <f aca="false">IFERROR(VLOOKUP(A65,자사몰!A:F,6,FALSE()),"")</f>
        <v>35</v>
      </c>
      <c r="K65" s="0" t="n">
        <f aca="false">IFERROR(VLOOKUP(A65,자사몰!A:G,7,FALSE()),"")</f>
        <v>787500</v>
      </c>
      <c r="L65" s="0" t="n">
        <f aca="false">IFERROR(SUM(D65,F65,H65,J65),"")</f>
        <v>710</v>
      </c>
      <c r="M65" s="0" t="n">
        <f aca="false">IFERROR(SUM(E65,G65,I65,K65),"")</f>
        <v>17631285</v>
      </c>
    </row>
    <row r="66" customFormat="false" ht="15" hidden="false" customHeight="false" outlineLevel="0" collapsed="false">
      <c r="A66" s="0" t="s">
        <v>77</v>
      </c>
      <c r="B66" s="0" t="str">
        <f aca="false">IFERROR(VLOOKUP(A66,상품마스터!A:D,4,FALSE()),"")</f>
        <v>믹스넛 500g</v>
      </c>
      <c r="C66" s="0" t="str">
        <f aca="false">IFERROR(VLOOKUP(A66,상품마스터!A:C,3,FALSE()),"")</f>
        <v>견과류</v>
      </c>
      <c r="D66" s="0" t="n">
        <f aca="false">IFERROR(VLOOKUP(A66,스마트스토어!B:I,8,FALSE()),"")</f>
        <v>221</v>
      </c>
      <c r="E66" s="0" t="n">
        <f aca="false">IFERROR(VLOOKUP(A66,스마트스토어!B:J,9,FALSE()),"")</f>
        <v>3454451</v>
      </c>
      <c r="F66" s="0" t="n">
        <f aca="false">IFERROR(VLOOKUP(A66,쿠팡!B:J,9,FALSE()),"")</f>
        <v>148</v>
      </c>
      <c r="G66" s="0" t="n">
        <f aca="false">IFERROR(VLOOKUP(A66,쿠팡!B:K,10,FALSE()),"")</f>
        <v>2392272</v>
      </c>
      <c r="H66" s="0" t="n">
        <f aca="false">IFERROR(VLOOKUP(A66,카카오선물하기!B:I,8,FALSE()),"")</f>
        <v>157</v>
      </c>
      <c r="I66" s="0" t="n">
        <f aca="false">IFERROR(VLOOKUP(A66,카카오선물하기!B:J,9,FALSE()),"")</f>
        <v>2980959</v>
      </c>
      <c r="J66" s="0" t="n">
        <f aca="false">IFERROR(VLOOKUP(A66,자사몰!A:F,6,FALSE()),"")</f>
        <v>133</v>
      </c>
      <c r="K66" s="0" t="n">
        <f aca="false">IFERROR(VLOOKUP(A66,자사몰!A:G,7,FALSE()),"")</f>
        <v>2154600</v>
      </c>
      <c r="L66" s="0" t="n">
        <f aca="false">IFERROR(SUM(D66,F66,H66,J66),"")</f>
        <v>659</v>
      </c>
      <c r="M66" s="0" t="n">
        <f aca="false">IFERROR(SUM(E66,G66,I66,K66),"")</f>
        <v>10982282</v>
      </c>
    </row>
    <row r="67" customFormat="false" ht="15" hidden="false" customHeight="false" outlineLevel="0" collapsed="false">
      <c r="A67" s="0" t="s">
        <v>78</v>
      </c>
      <c r="B67" s="0" t="str">
        <f aca="false">IFERROR(VLOOKUP(A67,상품마스터!A:D,4,FALSE()),"")</f>
        <v>아몬드 500g</v>
      </c>
      <c r="C67" s="0" t="str">
        <f aca="false">IFERROR(VLOOKUP(A67,상품마스터!A:C,3,FALSE()),"")</f>
        <v>견과류</v>
      </c>
      <c r="D67" s="0" t="n">
        <f aca="false">IFERROR(VLOOKUP(A67,스마트스토어!B:I,8,FALSE()),"")</f>
        <v>41</v>
      </c>
      <c r="E67" s="0" t="n">
        <f aca="false">IFERROR(VLOOKUP(A67,스마트스토어!B:J,9,FALSE()),"")</f>
        <v>621929</v>
      </c>
      <c r="F67" s="0" t="n">
        <f aca="false">IFERROR(VLOOKUP(A67,쿠팡!B:J,9,FALSE()),"")</f>
        <v>96</v>
      </c>
      <c r="G67" s="0" t="n">
        <f aca="false">IFERROR(VLOOKUP(A67,쿠팡!B:K,10,FALSE()),"")</f>
        <v>1278528</v>
      </c>
      <c r="H67" s="0" t="n">
        <f aca="false">IFERROR(VLOOKUP(A67,카카오선물하기!B:I,8,FALSE()),"")</f>
        <v>148</v>
      </c>
      <c r="I67" s="0" t="n">
        <f aca="false">IFERROR(VLOOKUP(A67,카카오선물하기!B:J,9,FALSE()),"")</f>
        <v>2385612</v>
      </c>
      <c r="J67" s="0" t="n">
        <f aca="false">IFERROR(VLOOKUP(A67,자사몰!A:F,6,FALSE()),"")</f>
        <v>46</v>
      </c>
      <c r="K67" s="0" t="n">
        <f aca="false">IFERROR(VLOOKUP(A67,자사몰!A:G,7,FALSE()),"")</f>
        <v>586500</v>
      </c>
      <c r="L67" s="0" t="n">
        <f aca="false">IFERROR(SUM(D67,F67,H67,J67),"")</f>
        <v>331</v>
      </c>
      <c r="M67" s="0" t="n">
        <f aca="false">IFERROR(SUM(E67,G67,I67,K67),"")</f>
        <v>4872569</v>
      </c>
    </row>
    <row r="68" customFormat="false" ht="15" hidden="false" customHeight="false" outlineLevel="0" collapsed="false">
      <c r="A68" s="0" t="s">
        <v>79</v>
      </c>
      <c r="B68" s="0" t="str">
        <f aca="false">IFERROR(VLOOKUP(A68,상품마스터!A:D,4,FALSE()),"")</f>
        <v>캐슈넛 500g</v>
      </c>
      <c r="C68" s="0" t="str">
        <f aca="false">IFERROR(VLOOKUP(A68,상품마스터!A:C,3,FALSE()),"")</f>
        <v>견과류</v>
      </c>
      <c r="D68" s="0" t="n">
        <f aca="false">IFERROR(VLOOKUP(A68,스마트스토어!B:I,8,FALSE()),"")</f>
        <v>35</v>
      </c>
      <c r="E68" s="0" t="n">
        <f aca="false">IFERROR(VLOOKUP(A68,스마트스토어!B:J,9,FALSE()),"")</f>
        <v>589890</v>
      </c>
      <c r="F68" s="0" t="n">
        <f aca="false">IFERROR(VLOOKUP(A68,쿠팡!B:J,9,FALSE()),"")</f>
        <v>252</v>
      </c>
      <c r="G68" s="0" t="n">
        <f aca="false">IFERROR(VLOOKUP(A68,쿠팡!B:K,10,FALSE()),"")</f>
        <v>4551876</v>
      </c>
      <c r="H68" s="0" t="n">
        <f aca="false">IFERROR(VLOOKUP(A68,카카오선물하기!B:I,8,FALSE()),"")</f>
        <v>151</v>
      </c>
      <c r="I68" s="0" t="n">
        <f aca="false">IFERROR(VLOOKUP(A68,카카오선물하기!B:J,9,FALSE()),"")</f>
        <v>2848162</v>
      </c>
      <c r="J68" s="0" t="n">
        <f aca="false">IFERROR(VLOOKUP(A68,자사몰!A:F,6,FALSE()),"")</f>
        <v>64</v>
      </c>
      <c r="K68" s="0" t="n">
        <f aca="false">IFERROR(VLOOKUP(A68,자사몰!A:G,7,FALSE()),"")</f>
        <v>1070080</v>
      </c>
      <c r="L68" s="0" t="n">
        <f aca="false">IFERROR(SUM(D68,F68,H68,J68),"")</f>
        <v>502</v>
      </c>
      <c r="M68" s="0" t="n">
        <f aca="false">IFERROR(SUM(E68,G68,I68,K68),"")</f>
        <v>9060008</v>
      </c>
    </row>
    <row r="69" customFormat="false" ht="15" hidden="false" customHeight="false" outlineLevel="0" collapsed="false">
      <c r="A69" s="0" t="s">
        <v>80</v>
      </c>
      <c r="B69" s="0" t="str">
        <f aca="false">IFERROR(VLOOKUP(A69,상품마스터!A:D,4,FALSE()),"")</f>
        <v>호두 500g</v>
      </c>
      <c r="C69" s="0" t="str">
        <f aca="false">IFERROR(VLOOKUP(A69,상품마스터!A:C,3,FALSE()),"")</f>
        <v>견과류</v>
      </c>
      <c r="D69" s="0" t="n">
        <f aca="false">IFERROR(VLOOKUP(A69,스마트스토어!B:I,8,FALSE()),"")</f>
        <v>105</v>
      </c>
      <c r="E69" s="0" t="n">
        <f aca="false">IFERROR(VLOOKUP(A69,스마트스토어!B:J,9,FALSE()),"")</f>
        <v>1925805</v>
      </c>
      <c r="F69" s="0" t="n">
        <f aca="false">IFERROR(VLOOKUP(A69,쿠팡!B:J,9,FALSE()),"")</f>
        <v>239</v>
      </c>
      <c r="G69" s="0" t="n">
        <f aca="false">IFERROR(VLOOKUP(A69,쿠팡!B:K,10,FALSE()),"")</f>
        <v>4016395</v>
      </c>
      <c r="H69" s="0" t="n">
        <f aca="false">IFERROR(VLOOKUP(A69,카카오선물하기!B:I,8,FALSE()),"")</f>
        <v>182</v>
      </c>
      <c r="I69" s="0" t="n">
        <f aca="false">IFERROR(VLOOKUP(A69,카카오선물하기!B:J,9,FALSE()),"")</f>
        <v>3393026</v>
      </c>
      <c r="J69" s="0" t="n">
        <f aca="false">IFERROR(VLOOKUP(A69,자사몰!A:F,6,FALSE()),"")</f>
        <v>137</v>
      </c>
      <c r="K69" s="0" t="n">
        <f aca="false">IFERROR(VLOOKUP(A69,자사몰!A:G,7,FALSE()),"")</f>
        <v>2142680</v>
      </c>
      <c r="L69" s="0" t="n">
        <f aca="false">IFERROR(SUM(D69,F69,H69,J69),"")</f>
        <v>663</v>
      </c>
      <c r="M69" s="0" t="n">
        <f aca="false">IFERROR(SUM(E69,G69,I69,K69),"")</f>
        <v>11477906</v>
      </c>
    </row>
    <row r="70" customFormat="false" ht="15" hidden="false" customHeight="false" outlineLevel="0" collapsed="false">
      <c r="A70" s="0" t="s">
        <v>81</v>
      </c>
      <c r="B70" s="0" t="str">
        <f aca="false">IFERROR(VLOOKUP(A70,상품마스터!A:D,4,FALSE()),"")</f>
        <v>피칸 300g</v>
      </c>
      <c r="C70" s="0" t="str">
        <f aca="false">IFERROR(VLOOKUP(A70,상품마스터!A:C,3,FALSE()),"")</f>
        <v>견과류</v>
      </c>
      <c r="D70" s="0" t="n">
        <f aca="false">IFERROR(VLOOKUP(A70,스마트스토어!B:I,8,FALSE()),"")</f>
        <v>195</v>
      </c>
      <c r="E70" s="0" t="n">
        <f aca="false">IFERROR(VLOOKUP(A70,스마트스토어!B:J,9,FALSE()),"")</f>
        <v>3125265</v>
      </c>
      <c r="F70" s="0" t="str">
        <f aca="false">IFERROR(VLOOKUP(A70,쿠팡!B:J,9,FALSE()),"")</f>
        <v/>
      </c>
      <c r="G70" s="0" t="str">
        <f aca="false">IFERROR(VLOOKUP(A70,쿠팡!B:K,10,FALSE()),"")</f>
        <v/>
      </c>
      <c r="H70" s="0" t="n">
        <f aca="false">IFERROR(VLOOKUP(A70,카카오선물하기!B:I,8,FALSE()),"")</f>
        <v>213</v>
      </c>
      <c r="I70" s="0" t="n">
        <f aca="false">IFERROR(VLOOKUP(A70,카카오선물하기!B:J,9,FALSE()),"")</f>
        <v>3857856</v>
      </c>
      <c r="J70" s="0" t="n">
        <f aca="false">IFERROR(VLOOKUP(A70,자사몰!A:F,6,FALSE()),"")</f>
        <v>27</v>
      </c>
      <c r="K70" s="0" t="n">
        <f aca="false">IFERROR(VLOOKUP(A70,자사몰!A:G,7,FALSE()),"")</f>
        <v>367200</v>
      </c>
      <c r="L70" s="0" t="n">
        <f aca="false">IFERROR(SUM(D70,F70,H70,J70),"")</f>
        <v>435</v>
      </c>
      <c r="M70" s="0" t="n">
        <f aca="false">IFERROR(SUM(E70,G70,I70,K70),"")</f>
        <v>7350321</v>
      </c>
    </row>
    <row r="71" customFormat="false" ht="15" hidden="false" customHeight="false" outlineLevel="0" collapsed="false">
      <c r="A71" s="0" t="s">
        <v>82</v>
      </c>
      <c r="B71" s="0" t="str">
        <f aca="false">IFERROR(VLOOKUP(A71,상품마스터!A:D,4,FALSE()),"")</f>
        <v>마카다미아 300g</v>
      </c>
      <c r="C71" s="0" t="str">
        <f aca="false">IFERROR(VLOOKUP(A71,상품마스터!A:C,3,FALSE()),"")</f>
        <v>견과류</v>
      </c>
      <c r="D71" s="0" t="n">
        <f aca="false">IFERROR(VLOOKUP(A71,스마트스토어!B:I,8,FALSE()),"")</f>
        <v>318</v>
      </c>
      <c r="E71" s="0" t="n">
        <f aca="false">IFERROR(VLOOKUP(A71,스마트스토어!B:J,9,FALSE()),"")</f>
        <v>6879294</v>
      </c>
      <c r="F71" s="0" t="str">
        <f aca="false">IFERROR(VLOOKUP(A71,쿠팡!B:J,9,FALSE()),"")</f>
        <v/>
      </c>
      <c r="G71" s="0" t="str">
        <f aca="false">IFERROR(VLOOKUP(A71,쿠팡!B:K,10,FALSE()),"")</f>
        <v/>
      </c>
      <c r="H71" s="0" t="n">
        <f aca="false">IFERROR(VLOOKUP(A71,카카오선물하기!B:I,8,FALSE()),"")</f>
        <v>72</v>
      </c>
      <c r="I71" s="0" t="n">
        <f aca="false">IFERROR(VLOOKUP(A71,카카오선물하기!B:J,9,FALSE()),"")</f>
        <v>1544832</v>
      </c>
      <c r="J71" s="0" t="n">
        <f aca="false">IFERROR(VLOOKUP(A71,자사몰!A:F,6,FALSE()),"")</f>
        <v>75</v>
      </c>
      <c r="K71" s="0" t="n">
        <f aca="false">IFERROR(VLOOKUP(A71,자사몰!A:G,7,FALSE()),"")</f>
        <v>1485000</v>
      </c>
      <c r="L71" s="0" t="n">
        <f aca="false">IFERROR(SUM(D71,F71,H71,J71),"")</f>
        <v>465</v>
      </c>
      <c r="M71" s="0" t="n">
        <f aca="false">IFERROR(SUM(E71,G71,I71,K71),"")</f>
        <v>9909126</v>
      </c>
    </row>
    <row r="72" customFormat="false" ht="15" hidden="false" customHeight="false" outlineLevel="0" collapsed="false">
      <c r="A72" s="0" t="s">
        <v>83</v>
      </c>
      <c r="B72" s="0" t="str">
        <f aca="false">IFERROR(VLOOKUP(A72,상품마스터!A:D,4,FALSE()),"")</f>
        <v>믹스넛 1kg</v>
      </c>
      <c r="C72" s="0" t="str">
        <f aca="false">IFERROR(VLOOKUP(A72,상품마스터!A:C,3,FALSE()),"")</f>
        <v>견과류</v>
      </c>
      <c r="D72" s="0" t="n">
        <f aca="false">IFERROR(VLOOKUP(A72,스마트스토어!B:I,8,FALSE()),"")</f>
        <v>304</v>
      </c>
      <c r="E72" s="0" t="n">
        <f aca="false">IFERROR(VLOOKUP(A72,스마트스토어!B:J,9,FALSE()),"")</f>
        <v>9358032</v>
      </c>
      <c r="F72" s="0" t="n">
        <f aca="false">IFERROR(VLOOKUP(A72,쿠팡!B:J,9,FALSE()),"")</f>
        <v>71</v>
      </c>
      <c r="G72" s="0" t="n">
        <f aca="false">IFERROR(VLOOKUP(A72,쿠팡!B:K,10,FALSE()),"")</f>
        <v>1937448</v>
      </c>
      <c r="H72" s="0" t="n">
        <f aca="false">IFERROR(VLOOKUP(A72,카카오선물하기!B:I,8,FALSE()),"")</f>
        <v>157</v>
      </c>
      <c r="I72" s="0" t="n">
        <f aca="false">IFERROR(VLOOKUP(A72,카카오선물하기!B:J,9,FALSE()),"")</f>
        <v>5312566</v>
      </c>
      <c r="J72" s="0" t="n">
        <f aca="false">IFERROR(VLOOKUP(A72,자사몰!A:F,6,FALSE()),"")</f>
        <v>5</v>
      </c>
      <c r="K72" s="0" t="n">
        <f aca="false">IFERROR(VLOOKUP(A72,자사몰!A:G,7,FALSE()),"")</f>
        <v>136000</v>
      </c>
      <c r="L72" s="0" t="n">
        <f aca="false">IFERROR(SUM(D72,F72,H72,J72),"")</f>
        <v>537</v>
      </c>
      <c r="M72" s="0" t="n">
        <f aca="false">IFERROR(SUM(E72,G72,I72,K72),"")</f>
        <v>16744046</v>
      </c>
    </row>
    <row r="73" customFormat="false" ht="15" hidden="false" customHeight="false" outlineLevel="0" collapsed="false">
      <c r="A73" s="0" t="s">
        <v>84</v>
      </c>
      <c r="B73" s="0" t="str">
        <f aca="false">IFERROR(VLOOKUP(A73,상품마스터!A:D,4,FALSE()),"")</f>
        <v>아몬드 1kg</v>
      </c>
      <c r="C73" s="0" t="str">
        <f aca="false">IFERROR(VLOOKUP(A73,상품마스터!A:C,3,FALSE()),"")</f>
        <v>견과류</v>
      </c>
      <c r="D73" s="0" t="str">
        <f aca="false">IFERROR(VLOOKUP(A73,스마트스토어!B:I,8,FALSE()),"")</f>
        <v/>
      </c>
      <c r="E73" s="0" t="str">
        <f aca="false">IFERROR(VLOOKUP(A73,스마트스토어!B:J,9,FALSE()),"")</f>
        <v/>
      </c>
      <c r="F73" s="0" t="n">
        <f aca="false">IFERROR(VLOOKUP(A73,쿠팡!B:J,9,FALSE()),"")</f>
        <v>183</v>
      </c>
      <c r="G73" s="0" t="n">
        <f aca="false">IFERROR(VLOOKUP(A73,쿠팡!B:K,10,FALSE()),"")</f>
        <v>4307271</v>
      </c>
      <c r="H73" s="0" t="n">
        <f aca="false">IFERROR(VLOOKUP(A73,카카오선물하기!B:I,8,FALSE()),"")</f>
        <v>97</v>
      </c>
      <c r="I73" s="0" t="n">
        <f aca="false">IFERROR(VLOOKUP(A73,카카오선물하기!B:J,9,FALSE()),"")</f>
        <v>2642183</v>
      </c>
      <c r="J73" s="0" t="n">
        <f aca="false">IFERROR(VLOOKUP(A73,자사몰!A:F,6,FALSE()),"")</f>
        <v>150</v>
      </c>
      <c r="K73" s="0" t="n">
        <f aca="false">IFERROR(VLOOKUP(A73,자사몰!A:G,7,FALSE()),"")</f>
        <v>3645000</v>
      </c>
      <c r="L73" s="0" t="n">
        <f aca="false">IFERROR(SUM(D73,F73,H73,J73),"")</f>
        <v>430</v>
      </c>
      <c r="M73" s="0" t="n">
        <f aca="false">IFERROR(SUM(E73,G73,I73,K73),"")</f>
        <v>10594454</v>
      </c>
    </row>
    <row r="74" customFormat="false" ht="15" hidden="false" customHeight="false" outlineLevel="0" collapsed="false">
      <c r="A74" s="0" t="s">
        <v>85</v>
      </c>
      <c r="B74" s="0" t="str">
        <f aca="false">IFERROR(VLOOKUP(A74,상품마스터!A:D,4,FALSE()),"")</f>
        <v>캐슈넛 1kg</v>
      </c>
      <c r="C74" s="0" t="str">
        <f aca="false">IFERROR(VLOOKUP(A74,상품마스터!A:C,3,FALSE()),"")</f>
        <v>견과류</v>
      </c>
      <c r="D74" s="0" t="n">
        <f aca="false">IFERROR(VLOOKUP(A74,스마트스토어!B:I,8,FALSE()),"")</f>
        <v>138</v>
      </c>
      <c r="E74" s="0" t="n">
        <f aca="false">IFERROR(VLOOKUP(A74,스마트스토어!B:J,9,FALSE()),"")</f>
        <v>4639422</v>
      </c>
      <c r="F74" s="0" t="n">
        <f aca="false">IFERROR(VLOOKUP(A74,쿠팡!B:J,9,FALSE()),"")</f>
        <v>535</v>
      </c>
      <c r="G74" s="0" t="n">
        <f aca="false">IFERROR(VLOOKUP(A74,쿠팡!B:K,10,FALSE()),"")</f>
        <v>14962880</v>
      </c>
      <c r="H74" s="0" t="n">
        <f aca="false">IFERROR(VLOOKUP(A74,카카오선물하기!B:I,8,FALSE()),"")</f>
        <v>151</v>
      </c>
      <c r="I74" s="0" t="n">
        <f aca="false">IFERROR(VLOOKUP(A74,카카오선물하기!B:J,9,FALSE()),"")</f>
        <v>5570692</v>
      </c>
      <c r="J74" s="0" t="n">
        <f aca="false">IFERROR(VLOOKUP(A74,자사몰!A:F,6,FALSE()),"")</f>
        <v>47</v>
      </c>
      <c r="K74" s="0" t="n">
        <f aca="false">IFERROR(VLOOKUP(A74,자사몰!A:G,7,FALSE()),"")</f>
        <v>1398250</v>
      </c>
      <c r="L74" s="0" t="n">
        <f aca="false">IFERROR(SUM(D74,F74,H74,J74),"")</f>
        <v>871</v>
      </c>
      <c r="M74" s="0" t="n">
        <f aca="false">IFERROR(SUM(E74,G74,I74,K74),"")</f>
        <v>26571244</v>
      </c>
    </row>
    <row r="75" customFormat="false" ht="15" hidden="false" customHeight="false" outlineLevel="0" collapsed="false">
      <c r="A75" s="0" t="s">
        <v>86</v>
      </c>
      <c r="B75" s="0" t="str">
        <f aca="false">IFERROR(VLOOKUP(A75,상품마스터!A:D,4,FALSE()),"")</f>
        <v>호두 1kg</v>
      </c>
      <c r="C75" s="0" t="str">
        <f aca="false">IFERROR(VLOOKUP(A75,상품마스터!A:C,3,FALSE()),"")</f>
        <v>견과류</v>
      </c>
      <c r="D75" s="0" t="n">
        <f aca="false">IFERROR(VLOOKUP(A75,스마트스토어!B:I,8,FALSE()),"")</f>
        <v>122</v>
      </c>
      <c r="E75" s="0" t="n">
        <f aca="false">IFERROR(VLOOKUP(A75,스마트스토어!B:J,9,FALSE()),"")</f>
        <v>3470168</v>
      </c>
      <c r="F75" s="0" t="str">
        <f aca="false">IFERROR(VLOOKUP(A75,쿠팡!B:J,9,FALSE()),"")</f>
        <v/>
      </c>
      <c r="G75" s="0" t="str">
        <f aca="false">IFERROR(VLOOKUP(A75,쿠팡!B:K,10,FALSE()),"")</f>
        <v/>
      </c>
      <c r="H75" s="0" t="n">
        <f aca="false">IFERROR(VLOOKUP(A75,카카오선물하기!B:I,8,FALSE()),"")</f>
        <v>215</v>
      </c>
      <c r="I75" s="0" t="n">
        <f aca="false">IFERROR(VLOOKUP(A75,카카오선물하기!B:J,9,FALSE()),"")</f>
        <v>7506080</v>
      </c>
      <c r="J75" s="0" t="n">
        <f aca="false">IFERROR(VLOOKUP(A75,자사몰!A:F,6,FALSE()),"")</f>
        <v>95</v>
      </c>
      <c r="K75" s="0" t="n">
        <f aca="false">IFERROR(VLOOKUP(A75,자사몰!A:G,7,FALSE()),"")</f>
        <v>2422500</v>
      </c>
      <c r="L75" s="0" t="n">
        <f aca="false">IFERROR(SUM(D75,F75,H75,J75),"")</f>
        <v>432</v>
      </c>
      <c r="M75" s="0" t="n">
        <f aca="false">IFERROR(SUM(E75,G75,I75,K75),"")</f>
        <v>13398748</v>
      </c>
    </row>
    <row r="76" customFormat="false" ht="15" hidden="false" customHeight="false" outlineLevel="0" collapsed="false">
      <c r="A76" s="0" t="s">
        <v>87</v>
      </c>
      <c r="B76" s="0" t="str">
        <f aca="false">IFERROR(VLOOKUP(A76,상품마스터!A:D,4,FALSE()),"")</f>
        <v>하루견과 25g x 30봉</v>
      </c>
      <c r="C76" s="0" t="str">
        <f aca="false">IFERROR(VLOOKUP(A76,상품마스터!A:C,3,FALSE()),"")</f>
        <v>견과류</v>
      </c>
      <c r="D76" s="0" t="n">
        <f aca="false">IFERROR(VLOOKUP(A76,스마트스토어!B:I,8,FALSE()),"")</f>
        <v>96</v>
      </c>
      <c r="E76" s="0" t="n">
        <f aca="false">IFERROR(VLOOKUP(A76,스마트스토어!B:J,9,FALSE()),"")</f>
        <v>2517312</v>
      </c>
      <c r="F76" s="0" t="n">
        <f aca="false">IFERROR(VLOOKUP(A76,쿠팡!B:J,9,FALSE()),"")</f>
        <v>181</v>
      </c>
      <c r="G76" s="0" t="n">
        <f aca="false">IFERROR(VLOOKUP(A76,쿠팡!B:K,10,FALSE()),"")</f>
        <v>3867608</v>
      </c>
      <c r="H76" s="0" t="n">
        <f aca="false">IFERROR(VLOOKUP(A76,카카오선물하기!B:I,8,FALSE()),"")</f>
        <v>63</v>
      </c>
      <c r="I76" s="0" t="n">
        <f aca="false">IFERROR(VLOOKUP(A76,카카오선물하기!B:J,9,FALSE()),"")</f>
        <v>1588608</v>
      </c>
      <c r="J76" s="0" t="n">
        <f aca="false">IFERROR(VLOOKUP(A76,자사몰!A:F,6,FALSE()),"")</f>
        <v>7</v>
      </c>
      <c r="K76" s="0" t="n">
        <f aca="false">IFERROR(VLOOKUP(A76,자사몰!A:G,7,FALSE()),"")</f>
        <v>161000</v>
      </c>
      <c r="L76" s="0" t="n">
        <f aca="false">IFERROR(SUM(D76,F76,H76,J76),"")</f>
        <v>347</v>
      </c>
      <c r="M76" s="0" t="n">
        <f aca="false">IFERROR(SUM(E76,G76,I76,K76),"")</f>
        <v>8134528</v>
      </c>
    </row>
    <row r="77" customFormat="false" ht="15" hidden="false" customHeight="false" outlineLevel="0" collapsed="false">
      <c r="A77" s="0" t="s">
        <v>88</v>
      </c>
      <c r="B77" s="0" t="str">
        <f aca="false">IFERROR(VLOOKUP(A77,상품마스터!A:D,4,FALSE()),"")</f>
        <v>하루견과 25g x 50봉</v>
      </c>
      <c r="C77" s="0" t="str">
        <f aca="false">IFERROR(VLOOKUP(A77,상품마스터!A:C,3,FALSE()),"")</f>
        <v>견과류</v>
      </c>
      <c r="D77" s="0" t="n">
        <f aca="false">IFERROR(VLOOKUP(A77,스마트스토어!B:I,8,FALSE()),"")</f>
        <v>44</v>
      </c>
      <c r="E77" s="0" t="n">
        <f aca="false">IFERROR(VLOOKUP(A77,스마트스토어!B:J,9,FALSE()),"")</f>
        <v>1706892</v>
      </c>
      <c r="F77" s="0" t="n">
        <f aca="false">IFERROR(VLOOKUP(A77,쿠팡!B:J,9,FALSE()),"")</f>
        <v>220</v>
      </c>
      <c r="G77" s="0" t="n">
        <f aca="false">IFERROR(VLOOKUP(A77,쿠팡!B:K,10,FALSE()),"")</f>
        <v>7530160</v>
      </c>
      <c r="H77" s="0" t="n">
        <f aca="false">IFERROR(VLOOKUP(A77,카카오선물하기!B:I,8,FALSE()),"")</f>
        <v>103</v>
      </c>
      <c r="I77" s="0" t="n">
        <f aca="false">IFERROR(VLOOKUP(A77,카카오선물하기!B:J,9,FALSE()),"")</f>
        <v>3720566</v>
      </c>
      <c r="J77" s="0" t="n">
        <f aca="false">IFERROR(VLOOKUP(A77,자사몰!A:F,6,FALSE()),"")</f>
        <v>101</v>
      </c>
      <c r="K77" s="0" t="n">
        <f aca="false">IFERROR(VLOOKUP(A77,자사몰!A:G,7,FALSE()),"")</f>
        <v>3530960</v>
      </c>
      <c r="L77" s="0" t="n">
        <f aca="false">IFERROR(SUM(D77,F77,H77,J77),"")</f>
        <v>468</v>
      </c>
      <c r="M77" s="0" t="n">
        <f aca="false">IFERROR(SUM(E77,G77,I77,K77),"")</f>
        <v>16488578</v>
      </c>
    </row>
    <row r="78" customFormat="false" ht="15" hidden="false" customHeight="false" outlineLevel="0" collapsed="false">
      <c r="A78" s="0" t="s">
        <v>89</v>
      </c>
      <c r="B78" s="0" t="str">
        <f aca="false">IFERROR(VLOOKUP(A78,상품마스터!A:D,4,FALSE()),"")</f>
        <v>허니버터 아몬드 200g</v>
      </c>
      <c r="C78" s="0" t="str">
        <f aca="false">IFERROR(VLOOKUP(A78,상품마스터!A:C,3,FALSE()),"")</f>
        <v>견과류</v>
      </c>
      <c r="D78" s="0" t="n">
        <f aca="false">IFERROR(VLOOKUP(A78,스마트스토어!B:I,8,FALSE()),"")</f>
        <v>99</v>
      </c>
      <c r="E78" s="0" t="n">
        <f aca="false">IFERROR(VLOOKUP(A78,스마트스토어!B:J,9,FALSE()),"")</f>
        <v>870309</v>
      </c>
      <c r="F78" s="0" t="n">
        <f aca="false">IFERROR(VLOOKUP(A78,쿠팡!B:J,9,FALSE()),"")</f>
        <v>481</v>
      </c>
      <c r="G78" s="0" t="n">
        <f aca="false">IFERROR(VLOOKUP(A78,쿠팡!B:K,10,FALSE()),"")</f>
        <v>4161131</v>
      </c>
      <c r="H78" s="0" t="n">
        <f aca="false">IFERROR(VLOOKUP(A78,카카오선물하기!B:I,8,FALSE()),"")</f>
        <v>20</v>
      </c>
      <c r="I78" s="0" t="n">
        <f aca="false">IFERROR(VLOOKUP(A78,카카오선물하기!B:J,9,FALSE()),"")</f>
        <v>179640</v>
      </c>
      <c r="J78" s="0" t="n">
        <f aca="false">IFERROR(VLOOKUP(A78,자사몰!A:F,6,FALSE()),"")</f>
        <v>66</v>
      </c>
      <c r="K78" s="0" t="n">
        <f aca="false">IFERROR(VLOOKUP(A78,자사몰!A:G,7,FALSE()),"")</f>
        <v>546480</v>
      </c>
      <c r="L78" s="0" t="n">
        <f aca="false">IFERROR(SUM(D78,F78,H78,J78),"")</f>
        <v>666</v>
      </c>
      <c r="M78" s="0" t="n">
        <f aca="false">IFERROR(SUM(E78,G78,I78,K78),"")</f>
        <v>5757560</v>
      </c>
    </row>
    <row r="79" customFormat="false" ht="15" hidden="false" customHeight="false" outlineLevel="0" collapsed="false">
      <c r="A79" s="0" t="s">
        <v>90</v>
      </c>
      <c r="B79" s="0" t="str">
        <f aca="false">IFERROR(VLOOKUP(A79,상품마스터!A:D,4,FALSE()),"")</f>
        <v>와사비 아몬드 200g</v>
      </c>
      <c r="C79" s="0" t="str">
        <f aca="false">IFERROR(VLOOKUP(A79,상품마스터!A:C,3,FALSE()),"")</f>
        <v>견과류</v>
      </c>
      <c r="D79" s="0" t="n">
        <f aca="false">IFERROR(VLOOKUP(A79,스마트스토어!B:I,8,FALSE()),"")</f>
        <v>396</v>
      </c>
      <c r="E79" s="0" t="n">
        <f aca="false">IFERROR(VLOOKUP(A79,스마트스토어!B:J,9,FALSE()),"")</f>
        <v>3250368</v>
      </c>
      <c r="F79" s="0" t="n">
        <f aca="false">IFERROR(VLOOKUP(A79,쿠팡!B:J,9,FALSE()),"")</f>
        <v>45</v>
      </c>
      <c r="G79" s="0" t="n">
        <f aca="false">IFERROR(VLOOKUP(A79,쿠팡!B:K,10,FALSE()),"")</f>
        <v>332640</v>
      </c>
      <c r="H79" s="0" t="n">
        <f aca="false">IFERROR(VLOOKUP(A79,카카오선물하기!B:I,8,FALSE()),"")</f>
        <v>71</v>
      </c>
      <c r="I79" s="0" t="n">
        <f aca="false">IFERROR(VLOOKUP(A79,카카오선물하기!B:J,9,FALSE()),"")</f>
        <v>675068</v>
      </c>
      <c r="J79" s="0" t="n">
        <f aca="false">IFERROR(VLOOKUP(A79,자사몰!A:F,6,FALSE()),"")</f>
        <v>110</v>
      </c>
      <c r="K79" s="0" t="n">
        <f aca="false">IFERROR(VLOOKUP(A79,자사몰!A:G,7,FALSE()),"")</f>
        <v>891000</v>
      </c>
      <c r="L79" s="0" t="n">
        <f aca="false">IFERROR(SUM(D79,F79,H79,J79),"")</f>
        <v>622</v>
      </c>
      <c r="M79" s="0" t="n">
        <f aca="false">IFERROR(SUM(E79,G79,I79,K79),"")</f>
        <v>5149076</v>
      </c>
    </row>
    <row r="80" customFormat="false" ht="15" hidden="false" customHeight="false" outlineLevel="0" collapsed="false">
      <c r="A80" s="0" t="s">
        <v>91</v>
      </c>
      <c r="B80" s="0" t="str">
        <f aca="false">IFERROR(VLOOKUP(A80,상품마스터!A:D,4,FALSE()),"")</f>
        <v>초코 12개입</v>
      </c>
      <c r="C80" s="0" t="str">
        <f aca="false">IFERROR(VLOOKUP(A80,상품마스터!A:C,3,FALSE()),"")</f>
        <v>프로틴바</v>
      </c>
      <c r="D80" s="0" t="n">
        <f aca="false">IFERROR(VLOOKUP(A80,스마트스토어!B:I,8,FALSE()),"")</f>
        <v>35</v>
      </c>
      <c r="E80" s="0" t="n">
        <f aca="false">IFERROR(VLOOKUP(A80,스마트스토어!B:J,9,FALSE()),"")</f>
        <v>670705</v>
      </c>
      <c r="F80" s="0" t="n">
        <f aca="false">IFERROR(VLOOKUP(A80,쿠팡!B:J,9,FALSE()),"")</f>
        <v>274</v>
      </c>
      <c r="G80" s="0" t="n">
        <f aca="false">IFERROR(VLOOKUP(A80,쿠팡!B:K,10,FALSE()),"")</f>
        <v>4863500</v>
      </c>
      <c r="H80" s="0" t="str">
        <f aca="false">IFERROR(VLOOKUP(A80,카카오선물하기!B:I,8,FALSE()),"")</f>
        <v/>
      </c>
      <c r="I80" s="0" t="str">
        <f aca="false">IFERROR(VLOOKUP(A80,카카오선물하기!B:J,9,FALSE()),"")</f>
        <v/>
      </c>
      <c r="J80" s="0" t="n">
        <f aca="false">IFERROR(VLOOKUP(A80,자사몰!A:F,6,FALSE()),"")</f>
        <v>77</v>
      </c>
      <c r="K80" s="0" t="n">
        <f aca="false">IFERROR(VLOOKUP(A80,자사몰!A:G,7,FALSE()),"")</f>
        <v>1247400</v>
      </c>
      <c r="L80" s="0" t="n">
        <f aca="false">IFERROR(SUM(D80,F80,H80,J80),"")</f>
        <v>386</v>
      </c>
      <c r="M80" s="0" t="n">
        <f aca="false">IFERROR(SUM(E80,G80,I80,K80),"")</f>
        <v>6781605</v>
      </c>
    </row>
    <row r="81" customFormat="false" ht="15" hidden="false" customHeight="false" outlineLevel="0" collapsed="false">
      <c r="A81" s="0" t="s">
        <v>92</v>
      </c>
      <c r="B81" s="0" t="str">
        <f aca="false">IFERROR(VLOOKUP(A81,상품마스터!A:D,4,FALSE()),"")</f>
        <v>피넛 12개입</v>
      </c>
      <c r="C81" s="0" t="str">
        <f aca="false">IFERROR(VLOOKUP(A81,상품마스터!A:C,3,FALSE()),"")</f>
        <v>프로틴바</v>
      </c>
      <c r="D81" s="0" t="n">
        <f aca="false">IFERROR(VLOOKUP(A81,스마트스토어!B:I,8,FALSE()),"")</f>
        <v>159</v>
      </c>
      <c r="E81" s="0" t="n">
        <f aca="false">IFERROR(VLOOKUP(A81,스마트스토어!B:J,9,FALSE()),"")</f>
        <v>2831790</v>
      </c>
      <c r="F81" s="0" t="str">
        <f aca="false">IFERROR(VLOOKUP(A81,쿠팡!B:J,9,FALSE()),"")</f>
        <v/>
      </c>
      <c r="G81" s="0" t="str">
        <f aca="false">IFERROR(VLOOKUP(A81,쿠팡!B:K,10,FALSE()),"")</f>
        <v/>
      </c>
      <c r="H81" s="0" t="str">
        <f aca="false">IFERROR(VLOOKUP(A81,카카오선물하기!B:I,8,FALSE()),"")</f>
        <v/>
      </c>
      <c r="I81" s="0" t="str">
        <f aca="false">IFERROR(VLOOKUP(A81,카카오선물하기!B:J,9,FALSE()),"")</f>
        <v/>
      </c>
      <c r="J81" s="0" t="n">
        <f aca="false">IFERROR(VLOOKUP(A81,자사몰!A:F,6,FALSE()),"")</f>
        <v>92</v>
      </c>
      <c r="K81" s="0" t="n">
        <f aca="false">IFERROR(VLOOKUP(A81,자사몰!A:G,7,FALSE()),"")</f>
        <v>1449000</v>
      </c>
      <c r="L81" s="0" t="n">
        <f aca="false">IFERROR(SUM(D81,F81,H81,J81),"")</f>
        <v>251</v>
      </c>
      <c r="M81" s="0" t="n">
        <f aca="false">IFERROR(SUM(E81,G81,I81,K81),"")</f>
        <v>4280790</v>
      </c>
    </row>
    <row r="82" customFormat="false" ht="15" hidden="false" customHeight="false" outlineLevel="0" collapsed="false">
      <c r="A82" s="0" t="s">
        <v>93</v>
      </c>
      <c r="B82" s="0" t="str">
        <f aca="false">IFERROR(VLOOKUP(A82,상품마스터!A:D,4,FALSE()),"")</f>
        <v>쿠키앤크림 12개입</v>
      </c>
      <c r="C82" s="0" t="str">
        <f aca="false">IFERROR(VLOOKUP(A82,상품마스터!A:C,3,FALSE()),"")</f>
        <v>프로틴바</v>
      </c>
      <c r="D82" s="0" t="n">
        <f aca="false">IFERROR(VLOOKUP(A82,스마트스토어!B:I,8,FALSE()),"")</f>
        <v>157</v>
      </c>
      <c r="E82" s="0" t="n">
        <f aca="false">IFERROR(VLOOKUP(A82,스마트스토어!B:J,9,FALSE()),"")</f>
        <v>3038107</v>
      </c>
      <c r="F82" s="0" t="n">
        <f aca="false">IFERROR(VLOOKUP(A82,쿠팡!B:J,9,FALSE()),"")</f>
        <v>166</v>
      </c>
      <c r="G82" s="0" t="n">
        <f aca="false">IFERROR(VLOOKUP(A82,쿠팡!B:K,10,FALSE()),"")</f>
        <v>2889562</v>
      </c>
      <c r="H82" s="0" t="str">
        <f aca="false">IFERROR(VLOOKUP(A82,카카오선물하기!B:I,8,FALSE()),"")</f>
        <v/>
      </c>
      <c r="I82" s="0" t="str">
        <f aca="false">IFERROR(VLOOKUP(A82,카카오선물하기!B:J,9,FALSE()),"")</f>
        <v/>
      </c>
      <c r="J82" s="0" t="n">
        <f aca="false">IFERROR(VLOOKUP(A82,자사몰!A:F,6,FALSE()),"")</f>
        <v>16</v>
      </c>
      <c r="K82" s="0" t="n">
        <f aca="false">IFERROR(VLOOKUP(A82,자사몰!A:G,7,FALSE()),"")</f>
        <v>266400</v>
      </c>
      <c r="L82" s="0" t="n">
        <f aca="false">IFERROR(SUM(D82,F82,H82,J82),"")</f>
        <v>339</v>
      </c>
      <c r="M82" s="0" t="n">
        <f aca="false">IFERROR(SUM(E82,G82,I82,K82),"")</f>
        <v>6194069</v>
      </c>
    </row>
    <row r="83" customFormat="false" ht="15" hidden="false" customHeight="false" outlineLevel="0" collapsed="false">
      <c r="A83" s="0" t="s">
        <v>94</v>
      </c>
      <c r="B83" s="0" t="str">
        <f aca="false">IFERROR(VLOOKUP(A83,상품마스터!A:D,4,FALSE()),"")</f>
        <v>카라멜 12개입</v>
      </c>
      <c r="C83" s="0" t="str">
        <f aca="false">IFERROR(VLOOKUP(A83,상품마스터!A:C,3,FALSE()),"")</f>
        <v>프로틴바</v>
      </c>
      <c r="D83" s="0" t="str">
        <f aca="false">IFERROR(VLOOKUP(A83,스마트스토어!B:I,8,FALSE()),"")</f>
        <v/>
      </c>
      <c r="E83" s="0" t="str">
        <f aca="false">IFERROR(VLOOKUP(A83,스마트스토어!B:J,9,FALSE()),"")</f>
        <v/>
      </c>
      <c r="F83" s="0" t="n">
        <f aca="false">IFERROR(VLOOKUP(A83,쿠팡!B:J,9,FALSE()),"")</f>
        <v>68</v>
      </c>
      <c r="G83" s="0" t="n">
        <f aca="false">IFERROR(VLOOKUP(A83,쿠팡!B:K,10,FALSE()),"")</f>
        <v>1158380</v>
      </c>
      <c r="H83" s="0" t="str">
        <f aca="false">IFERROR(VLOOKUP(A83,카카오선물하기!B:I,8,FALSE()),"")</f>
        <v/>
      </c>
      <c r="I83" s="0" t="str">
        <f aca="false">IFERROR(VLOOKUP(A83,카카오선물하기!B:J,9,FALSE()),"")</f>
        <v/>
      </c>
      <c r="J83" s="0" t="n">
        <f aca="false">IFERROR(VLOOKUP(A83,자사몰!A:F,6,FALSE()),"")</f>
        <v>141</v>
      </c>
      <c r="K83" s="0" t="n">
        <f aca="false">IFERROR(VLOOKUP(A83,자사몰!A:G,7,FALSE()),"")</f>
        <v>2284200</v>
      </c>
      <c r="L83" s="0" t="n">
        <f aca="false">IFERROR(SUM(D83,F83,H83,J83),"")</f>
        <v>209</v>
      </c>
      <c r="M83" s="0" t="n">
        <f aca="false">IFERROR(SUM(E83,G83,I83,K83),"")</f>
        <v>3442580</v>
      </c>
    </row>
    <row r="84" customFormat="false" ht="15" hidden="false" customHeight="false" outlineLevel="0" collapsed="false">
      <c r="A84" s="0" t="s">
        <v>95</v>
      </c>
      <c r="B84" s="0" t="str">
        <f aca="false">IFERROR(VLOOKUP(A84,상품마스터!A:D,4,FALSE()),"")</f>
        <v>바닐라 12개입</v>
      </c>
      <c r="C84" s="0" t="str">
        <f aca="false">IFERROR(VLOOKUP(A84,상품마스터!A:C,3,FALSE()),"")</f>
        <v>프로틴바</v>
      </c>
      <c r="D84" s="0" t="n">
        <f aca="false">IFERROR(VLOOKUP(A84,스마트스토어!B:I,8,FALSE()),"")</f>
        <v>205</v>
      </c>
      <c r="E84" s="0" t="n">
        <f aca="false">IFERROR(VLOOKUP(A84,스마트스토어!B:J,9,FALSE()),"")</f>
        <v>3558800</v>
      </c>
      <c r="F84" s="0" t="str">
        <f aca="false">IFERROR(VLOOKUP(A84,쿠팡!B:J,9,FALSE()),"")</f>
        <v/>
      </c>
      <c r="G84" s="0" t="str">
        <f aca="false">IFERROR(VLOOKUP(A84,쿠팡!B:K,10,FALSE()),"")</f>
        <v/>
      </c>
      <c r="H84" s="0" t="str">
        <f aca="false">IFERROR(VLOOKUP(A84,카카오선물하기!B:I,8,FALSE()),"")</f>
        <v/>
      </c>
      <c r="I84" s="0" t="str">
        <f aca="false">IFERROR(VLOOKUP(A84,카카오선물하기!B:J,9,FALSE()),"")</f>
        <v/>
      </c>
      <c r="J84" s="0" t="n">
        <f aca="false">IFERROR(VLOOKUP(A84,자사몰!A:F,6,FALSE()),"")</f>
        <v>19</v>
      </c>
      <c r="K84" s="0" t="n">
        <f aca="false">IFERROR(VLOOKUP(A84,자사몰!A:G,7,FALSE()),"")</f>
        <v>274550</v>
      </c>
      <c r="L84" s="0" t="n">
        <f aca="false">IFERROR(SUM(D84,F84,H84,J84),"")</f>
        <v>224</v>
      </c>
      <c r="M84" s="0" t="n">
        <f aca="false">IFERROR(SUM(E84,G84,I84,K84),"")</f>
        <v>3833350</v>
      </c>
    </row>
    <row r="85" customFormat="false" ht="15" hidden="false" customHeight="false" outlineLevel="0" collapsed="false">
      <c r="A85" s="0" t="s">
        <v>96</v>
      </c>
      <c r="B85" s="0" t="str">
        <f aca="false">IFERROR(VLOOKUP(A85,상품마스터!A:D,4,FALSE()),"")</f>
        <v>더블초코 12개입</v>
      </c>
      <c r="C85" s="0" t="str">
        <f aca="false">IFERROR(VLOOKUP(A85,상품마스터!A:C,3,FALSE()),"")</f>
        <v>프로틴바</v>
      </c>
      <c r="D85" s="0" t="n">
        <f aca="false">IFERROR(VLOOKUP(A85,스마트스토어!B:I,8,FALSE()),"")</f>
        <v>195</v>
      </c>
      <c r="E85" s="0" t="n">
        <f aca="false">IFERROR(VLOOKUP(A85,스마트스토어!B:J,9,FALSE()),"")</f>
        <v>3948945</v>
      </c>
      <c r="F85" s="0" t="n">
        <f aca="false">IFERROR(VLOOKUP(A85,쿠팡!B:J,9,FALSE()),"")</f>
        <v>99</v>
      </c>
      <c r="G85" s="0" t="n">
        <f aca="false">IFERROR(VLOOKUP(A85,쿠팡!B:K,10,FALSE()),"")</f>
        <v>1517373</v>
      </c>
      <c r="H85" s="0" t="str">
        <f aca="false">IFERROR(VLOOKUP(A85,카카오선물하기!B:I,8,FALSE()),"")</f>
        <v/>
      </c>
      <c r="I85" s="0" t="str">
        <f aca="false">IFERROR(VLOOKUP(A85,카카오선물하기!B:J,9,FALSE()),"")</f>
        <v/>
      </c>
      <c r="J85" s="0" t="n">
        <f aca="false">IFERROR(VLOOKUP(A85,자사몰!A:F,6,FALSE()),"")</f>
        <v>127</v>
      </c>
      <c r="K85" s="0" t="n">
        <f aca="false">IFERROR(VLOOKUP(A85,자사몰!A:G,7,FALSE()),"")</f>
        <v>2292350</v>
      </c>
      <c r="L85" s="0" t="n">
        <f aca="false">IFERROR(SUM(D85,F85,H85,J85),"")</f>
        <v>421</v>
      </c>
      <c r="M85" s="0" t="n">
        <f aca="false">IFERROR(SUM(E85,G85,I85,K85),"")</f>
        <v>7758668</v>
      </c>
    </row>
    <row r="86" customFormat="false" ht="15" hidden="false" customHeight="false" outlineLevel="0" collapsed="false">
      <c r="A86" s="0" t="s">
        <v>97</v>
      </c>
      <c r="B86" s="0" t="str">
        <f aca="false">IFERROR(VLOOKUP(A86,상품마스터!A:D,4,FALSE()),"")</f>
        <v>초코 6개입</v>
      </c>
      <c r="C86" s="0" t="str">
        <f aca="false">IFERROR(VLOOKUP(A86,상품마스터!A:C,3,FALSE()),"")</f>
        <v>프로틴바</v>
      </c>
      <c r="D86" s="0" t="n">
        <f aca="false">IFERROR(VLOOKUP(A86,스마트스토어!B:I,8,FALSE()),"")</f>
        <v>31</v>
      </c>
      <c r="E86" s="0" t="n">
        <f aca="false">IFERROR(VLOOKUP(A86,스마트스토어!B:J,9,FALSE()),"")</f>
        <v>288641</v>
      </c>
      <c r="F86" s="0" t="n">
        <f aca="false">IFERROR(VLOOKUP(A86,쿠팡!B:J,9,FALSE()),"")</f>
        <v>169</v>
      </c>
      <c r="G86" s="0" t="n">
        <f aca="false">IFERROR(VLOOKUP(A86,쿠팡!B:K,10,FALSE()),"")</f>
        <v>1328340</v>
      </c>
      <c r="H86" s="0" t="str">
        <f aca="false">IFERROR(VLOOKUP(A86,카카오선물하기!B:I,8,FALSE()),"")</f>
        <v/>
      </c>
      <c r="I86" s="0" t="str">
        <f aca="false">IFERROR(VLOOKUP(A86,카카오선물하기!B:J,9,FALSE()),"")</f>
        <v/>
      </c>
      <c r="J86" s="0" t="n">
        <f aca="false">IFERROR(VLOOKUP(A86,자사몰!A:F,6,FALSE()),"")</f>
        <v>12</v>
      </c>
      <c r="K86" s="0" t="n">
        <f aca="false">IFERROR(VLOOKUP(A86,자사몰!A:G,7,FALSE()),"")</f>
        <v>108192</v>
      </c>
      <c r="L86" s="0" t="n">
        <f aca="false">IFERROR(SUM(D86,F86,H86,J86),"")</f>
        <v>212</v>
      </c>
      <c r="M86" s="0" t="n">
        <f aca="false">IFERROR(SUM(E86,G86,I86,K86),"")</f>
        <v>1725173</v>
      </c>
    </row>
    <row r="87" customFormat="false" ht="15" hidden="false" customHeight="false" outlineLevel="0" collapsed="false">
      <c r="A87" s="0" t="s">
        <v>98</v>
      </c>
      <c r="B87" s="0" t="str">
        <f aca="false">IFERROR(VLOOKUP(A87,상품마스터!A:D,4,FALSE()),"")</f>
        <v>피넛 6개입</v>
      </c>
      <c r="C87" s="0" t="str">
        <f aca="false">IFERROR(VLOOKUP(A87,상품마스터!A:C,3,FALSE()),"")</f>
        <v>프로틴바</v>
      </c>
      <c r="D87" s="0" t="n">
        <f aca="false">IFERROR(VLOOKUP(A87,스마트스토어!B:I,8,FALSE()),"")</f>
        <v>159</v>
      </c>
      <c r="E87" s="0" t="n">
        <f aca="false">IFERROR(VLOOKUP(A87,스마트스토어!B:J,9,FALSE()),"")</f>
        <v>1511772</v>
      </c>
      <c r="F87" s="0" t="n">
        <f aca="false">IFERROR(VLOOKUP(A87,쿠팡!B:J,9,FALSE()),"")</f>
        <v>229</v>
      </c>
      <c r="G87" s="0" t="n">
        <f aca="false">IFERROR(VLOOKUP(A87,쿠팡!B:K,10,FALSE()),"")</f>
        <v>1970774</v>
      </c>
      <c r="H87" s="0" t="str">
        <f aca="false">IFERROR(VLOOKUP(A87,카카오선물하기!B:I,8,FALSE()),"")</f>
        <v/>
      </c>
      <c r="I87" s="0" t="str">
        <f aca="false">IFERROR(VLOOKUP(A87,카카오선물하기!B:J,9,FALSE()),"")</f>
        <v/>
      </c>
      <c r="J87" s="0" t="n">
        <f aca="false">IFERROR(VLOOKUP(A87,자사몰!A:F,6,FALSE()),"")</f>
        <v>111</v>
      </c>
      <c r="K87" s="0" t="n">
        <f aca="false">IFERROR(VLOOKUP(A87,자사몰!A:G,7,FALSE()),"")</f>
        <v>896325</v>
      </c>
      <c r="L87" s="0" t="n">
        <f aca="false">IFERROR(SUM(D87,F87,H87,J87),"")</f>
        <v>499</v>
      </c>
      <c r="M87" s="0" t="n">
        <f aca="false">IFERROR(SUM(E87,G87,I87,K87),"")</f>
        <v>4378871</v>
      </c>
    </row>
    <row r="88" customFormat="false" ht="15" hidden="false" customHeight="false" outlineLevel="0" collapsed="false">
      <c r="A88" s="0" t="s">
        <v>99</v>
      </c>
      <c r="B88" s="0" t="str">
        <f aca="false">IFERROR(VLOOKUP(A88,상품마스터!A:D,4,FALSE()),"")</f>
        <v>쿠키앤크림 6개입</v>
      </c>
      <c r="C88" s="0" t="str">
        <f aca="false">IFERROR(VLOOKUP(A88,상품마스터!A:C,3,FALSE()),"")</f>
        <v>프로틴바</v>
      </c>
      <c r="D88" s="0" t="n">
        <f aca="false">IFERROR(VLOOKUP(A88,스마트스토어!B:I,8,FALSE()),"")</f>
        <v>292</v>
      </c>
      <c r="E88" s="0" t="n">
        <f aca="false">IFERROR(VLOOKUP(A88,스마트스토어!B:J,9,FALSE()),"")</f>
        <v>3151848</v>
      </c>
      <c r="F88" s="0" t="n">
        <f aca="false">IFERROR(VLOOKUP(A88,쿠팡!B:J,9,FALSE()),"")</f>
        <v>42</v>
      </c>
      <c r="G88" s="0" t="n">
        <f aca="false">IFERROR(VLOOKUP(A88,쿠팡!B:K,10,FALSE()),"")</f>
        <v>363216</v>
      </c>
      <c r="H88" s="0" t="str">
        <f aca="false">IFERROR(VLOOKUP(A88,카카오선물하기!B:I,8,FALSE()),"")</f>
        <v/>
      </c>
      <c r="I88" s="0" t="str">
        <f aca="false">IFERROR(VLOOKUP(A88,카카오선물하기!B:J,9,FALSE()),"")</f>
        <v/>
      </c>
      <c r="J88" s="0" t="n">
        <f aca="false">IFERROR(VLOOKUP(A88,자사몰!A:F,6,FALSE()),"")</f>
        <v>59</v>
      </c>
      <c r="K88" s="0" t="n">
        <f aca="false">IFERROR(VLOOKUP(A88,자사몰!A:G,7,FALSE()),"")</f>
        <v>519200</v>
      </c>
      <c r="L88" s="0" t="n">
        <f aca="false">IFERROR(SUM(D88,F88,H88,J88),"")</f>
        <v>393</v>
      </c>
      <c r="M88" s="0" t="n">
        <f aca="false">IFERROR(SUM(E88,G88,I88,K88),"")</f>
        <v>4034264</v>
      </c>
    </row>
    <row r="89" customFormat="false" ht="15" hidden="false" customHeight="false" outlineLevel="0" collapsed="false">
      <c r="A89" s="0" t="s">
        <v>100</v>
      </c>
      <c r="B89" s="0" t="str">
        <f aca="false">IFERROR(VLOOKUP(A89,상품마스터!A:D,4,FALSE()),"")</f>
        <v>카라멜 6개입</v>
      </c>
      <c r="C89" s="0" t="str">
        <f aca="false">IFERROR(VLOOKUP(A89,상품마스터!A:C,3,FALSE()),"")</f>
        <v>프로틴바</v>
      </c>
      <c r="D89" s="0" t="n">
        <f aca="false">IFERROR(VLOOKUP(A89,스마트스토어!B:I,8,FALSE()),"")</f>
        <v>144</v>
      </c>
      <c r="E89" s="0" t="n">
        <f aca="false">IFERROR(VLOOKUP(A89,스마트스토어!B:J,9,FALSE()),"")</f>
        <v>1368000</v>
      </c>
      <c r="F89" s="0" t="n">
        <f aca="false">IFERROR(VLOOKUP(A89,쿠팡!B:J,9,FALSE()),"")</f>
        <v>342</v>
      </c>
      <c r="G89" s="0" t="n">
        <f aca="false">IFERROR(VLOOKUP(A89,쿠팡!B:K,10,FALSE()),"")</f>
        <v>3357072</v>
      </c>
      <c r="H89" s="0" t="str">
        <f aca="false">IFERROR(VLOOKUP(A89,카카오선물하기!B:I,8,FALSE()),"")</f>
        <v/>
      </c>
      <c r="I89" s="0" t="str">
        <f aca="false">IFERROR(VLOOKUP(A89,카카오선물하기!B:J,9,FALSE()),"")</f>
        <v/>
      </c>
      <c r="J89" s="0" t="n">
        <f aca="false">IFERROR(VLOOKUP(A89,자사몰!A:F,6,FALSE()),"")</f>
        <v>123</v>
      </c>
      <c r="K89" s="0" t="n">
        <f aca="false">IFERROR(VLOOKUP(A89,자사몰!A:G,7,FALSE()),"")</f>
        <v>1060752</v>
      </c>
      <c r="L89" s="0" t="n">
        <f aca="false">IFERROR(SUM(D89,F89,H89,J89),"")</f>
        <v>609</v>
      </c>
      <c r="M89" s="0" t="n">
        <f aca="false">IFERROR(SUM(E89,G89,I89,K89),"")</f>
        <v>5785824</v>
      </c>
    </row>
    <row r="90" customFormat="false" ht="15" hidden="false" customHeight="false" outlineLevel="0" collapsed="false">
      <c r="A90" s="0" t="s">
        <v>101</v>
      </c>
      <c r="B90" s="0" t="str">
        <f aca="false">IFERROR(VLOOKUP(A90,상품마스터!A:D,4,FALSE()),"")</f>
        <v>초코 낱개</v>
      </c>
      <c r="C90" s="0" t="str">
        <f aca="false">IFERROR(VLOOKUP(A90,상품마스터!A:C,3,FALSE()),"")</f>
        <v>프로틴바</v>
      </c>
      <c r="D90" s="0" t="n">
        <f aca="false">IFERROR(VLOOKUP(A90,스마트스토어!B:I,8,FALSE()),"")</f>
        <v>350</v>
      </c>
      <c r="E90" s="0" t="n">
        <f aca="false">IFERROR(VLOOKUP(A90,스마트스토어!B:J,9,FALSE()),"")</f>
        <v>645050</v>
      </c>
      <c r="F90" s="0" t="str">
        <f aca="false">IFERROR(VLOOKUP(A90,쿠팡!B:J,9,FALSE()),"")</f>
        <v/>
      </c>
      <c r="G90" s="0" t="str">
        <f aca="false">IFERROR(VLOOKUP(A90,쿠팡!B:K,10,FALSE()),"")</f>
        <v/>
      </c>
      <c r="H90" s="0" t="str">
        <f aca="false">IFERROR(VLOOKUP(A90,카카오선물하기!B:I,8,FALSE()),"")</f>
        <v/>
      </c>
      <c r="I90" s="0" t="str">
        <f aca="false">IFERROR(VLOOKUP(A90,카카오선물하기!B:J,9,FALSE()),"")</f>
        <v/>
      </c>
      <c r="J90" s="0" t="n">
        <f aca="false">IFERROR(VLOOKUP(A90,자사몰!A:F,6,FALSE()),"")</f>
        <v>35</v>
      </c>
      <c r="K90" s="0" t="n">
        <f aca="false">IFERROR(VLOOKUP(A90,자사몰!A:G,7,FALSE()),"")</f>
        <v>59500</v>
      </c>
      <c r="L90" s="0" t="n">
        <f aca="false">IFERROR(SUM(D90,F90,H90,J90),"")</f>
        <v>385</v>
      </c>
      <c r="M90" s="0" t="n">
        <f aca="false">IFERROR(SUM(E90,G90,I90,K90),"")</f>
        <v>704550</v>
      </c>
    </row>
    <row r="91" customFormat="false" ht="15" hidden="false" customHeight="false" outlineLevel="0" collapsed="false">
      <c r="A91" s="0" t="s">
        <v>102</v>
      </c>
      <c r="B91" s="0" t="str">
        <f aca="false">IFERROR(VLOOKUP(A91,상품마스터!A:D,4,FALSE()),"")</f>
        <v>피넛 낱개</v>
      </c>
      <c r="C91" s="0" t="str">
        <f aca="false">IFERROR(VLOOKUP(A91,상품마스터!A:C,3,FALSE()),"")</f>
        <v>프로틴바</v>
      </c>
      <c r="D91" s="0" t="n">
        <f aca="false">IFERROR(VLOOKUP(A91,스마트스토어!B:I,8,FALSE()),"")</f>
        <v>438</v>
      </c>
      <c r="E91" s="0" t="n">
        <f aca="false">IFERROR(VLOOKUP(A91,스마트스토어!B:J,9,FALSE()),"")</f>
        <v>882570</v>
      </c>
      <c r="F91" s="0" t="n">
        <f aca="false">IFERROR(VLOOKUP(A91,쿠팡!B:J,9,FALSE()),"")</f>
        <v>328</v>
      </c>
      <c r="G91" s="0" t="n">
        <f aca="false">IFERROR(VLOOKUP(A91,쿠팡!B:K,10,FALSE()),"")</f>
        <v>577936</v>
      </c>
      <c r="H91" s="0" t="str">
        <f aca="false">IFERROR(VLOOKUP(A91,카카오선물하기!B:I,8,FALSE()),"")</f>
        <v/>
      </c>
      <c r="I91" s="0" t="str">
        <f aca="false">IFERROR(VLOOKUP(A91,카카오선물하기!B:J,9,FALSE()),"")</f>
        <v/>
      </c>
      <c r="J91" s="0" t="n">
        <f aca="false">IFERROR(VLOOKUP(A91,자사몰!A:F,6,FALSE()),"")</f>
        <v>115</v>
      </c>
      <c r="K91" s="0" t="n">
        <f aca="false">IFERROR(VLOOKUP(A91,자사몰!A:G,7,FALSE()),"")</f>
        <v>192280</v>
      </c>
      <c r="L91" s="0" t="n">
        <f aca="false">IFERROR(SUM(D91,F91,H91,J91),"")</f>
        <v>881</v>
      </c>
      <c r="M91" s="0" t="n">
        <f aca="false">IFERROR(SUM(E91,G91,I91,K91),"")</f>
        <v>1652786</v>
      </c>
    </row>
    <row r="92" customFormat="false" ht="15" hidden="false" customHeight="false" outlineLevel="0" collapsed="false">
      <c r="A92" s="0" t="s">
        <v>103</v>
      </c>
      <c r="B92" s="0" t="str">
        <f aca="false">IFERROR(VLOOKUP(A92,상품마스터!A:D,4,FALSE()),"")</f>
        <v>혼합 20개입</v>
      </c>
      <c r="C92" s="0" t="str">
        <f aca="false">IFERROR(VLOOKUP(A92,상품마스터!A:C,3,FALSE()),"")</f>
        <v>프로틴바</v>
      </c>
      <c r="D92" s="0" t="n">
        <f aca="false">IFERROR(VLOOKUP(A92,스마트스토어!B:I,8,FALSE()),"")</f>
        <v>101</v>
      </c>
      <c r="E92" s="0" t="n">
        <f aca="false">IFERROR(VLOOKUP(A92,스마트스토어!B:J,9,FALSE()),"")</f>
        <v>2693771</v>
      </c>
      <c r="F92" s="0" t="n">
        <f aca="false">IFERROR(VLOOKUP(A92,쿠팡!B:J,9,FALSE()),"")</f>
        <v>378</v>
      </c>
      <c r="G92" s="0" t="n">
        <f aca="false">IFERROR(VLOOKUP(A92,쿠팡!B:K,10,FALSE()),"")</f>
        <v>10315242</v>
      </c>
      <c r="H92" s="0" t="str">
        <f aca="false">IFERROR(VLOOKUP(A92,카카오선물하기!B:I,8,FALSE()),"")</f>
        <v/>
      </c>
      <c r="I92" s="0" t="str">
        <f aca="false">IFERROR(VLOOKUP(A92,카카오선물하기!B:J,9,FALSE()),"")</f>
        <v/>
      </c>
      <c r="J92" s="0" t="n">
        <f aca="false">IFERROR(VLOOKUP(A92,자사몰!A:F,6,FALSE()),"")</f>
        <v>146</v>
      </c>
      <c r="K92" s="0" t="n">
        <f aca="false">IFERROR(VLOOKUP(A92,자사몰!A:G,7,FALSE()),"")</f>
        <v>3760960</v>
      </c>
      <c r="L92" s="0" t="n">
        <f aca="false">IFERROR(SUM(D92,F92,H92,J92),"")</f>
        <v>625</v>
      </c>
      <c r="M92" s="0" t="n">
        <f aca="false">IFERROR(SUM(E92,G92,I92,K92),"")</f>
        <v>16769973</v>
      </c>
    </row>
    <row r="93" customFormat="false" ht="15" hidden="false" customHeight="false" outlineLevel="0" collapsed="false">
      <c r="A93" s="0" t="s">
        <v>104</v>
      </c>
      <c r="B93" s="0" t="str">
        <f aca="false">IFERROR(VLOOKUP(A93,상품마스터!A:D,4,FALSE()),"")</f>
        <v>혼합 30개입</v>
      </c>
      <c r="C93" s="0" t="str">
        <f aca="false">IFERROR(VLOOKUP(A93,상품마스터!A:C,3,FALSE()),"")</f>
        <v>프로틴바</v>
      </c>
      <c r="D93" s="0" t="n">
        <f aca="false">IFERROR(VLOOKUP(A93,스마트스토어!B:I,8,FALSE()),"")</f>
        <v>59</v>
      </c>
      <c r="E93" s="0" t="n">
        <f aca="false">IFERROR(VLOOKUP(A93,스마트스토어!B:J,9,FALSE()),"")</f>
        <v>2065472</v>
      </c>
      <c r="F93" s="0" t="n">
        <f aca="false">IFERROR(VLOOKUP(A93,쿠팡!B:J,9,FALSE()),"")</f>
        <v>193</v>
      </c>
      <c r="G93" s="0" t="n">
        <f aca="false">IFERROR(VLOOKUP(A93,쿠팡!B:K,10,FALSE()),"")</f>
        <v>7546879</v>
      </c>
      <c r="H93" s="0" t="str">
        <f aca="false">IFERROR(VLOOKUP(A93,카카오선물하기!B:I,8,FALSE()),"")</f>
        <v/>
      </c>
      <c r="I93" s="0" t="str">
        <f aca="false">IFERROR(VLOOKUP(A93,카카오선물하기!B:J,9,FALSE()),"")</f>
        <v/>
      </c>
      <c r="J93" s="0" t="n">
        <f aca="false">IFERROR(VLOOKUP(A93,자사몰!A:F,6,FALSE()),"")</f>
        <v>80</v>
      </c>
      <c r="K93" s="0" t="n">
        <f aca="false">IFERROR(VLOOKUP(A93,자사몰!A:G,7,FALSE()),"")</f>
        <v>2652000</v>
      </c>
      <c r="L93" s="0" t="n">
        <f aca="false">IFERROR(SUM(D93,F93,H93,J93),"")</f>
        <v>332</v>
      </c>
      <c r="M93" s="0" t="n">
        <f aca="false">IFERROR(SUM(E93,G93,I93,K93),"")</f>
        <v>12264351</v>
      </c>
    </row>
    <row r="94" customFormat="false" ht="15" hidden="false" customHeight="false" outlineLevel="0" collapsed="false">
      <c r="A94" s="0" t="s">
        <v>105</v>
      </c>
      <c r="B94" s="0" t="str">
        <f aca="false">IFERROR(VLOOKUP(A94,상품마스터!A:D,4,FALSE()),"")</f>
        <v>미니바 초코 20개입</v>
      </c>
      <c r="C94" s="0" t="str">
        <f aca="false">IFERROR(VLOOKUP(A94,상품마스터!A:C,3,FALSE()),"")</f>
        <v>프로틴바</v>
      </c>
      <c r="D94" s="0" t="n">
        <f aca="false">IFERROR(VLOOKUP(A94,스마트스토어!B:I,8,FALSE()),"")</f>
        <v>29</v>
      </c>
      <c r="E94" s="0" t="n">
        <f aca="false">IFERROR(VLOOKUP(A94,스마트스토어!B:J,9,FALSE()),"")</f>
        <v>391268</v>
      </c>
      <c r="F94" s="0" t="n">
        <f aca="false">IFERROR(VLOOKUP(A94,쿠팡!B:J,9,FALSE()),"")</f>
        <v>506</v>
      </c>
      <c r="G94" s="0" t="n">
        <f aca="false">IFERROR(VLOOKUP(A94,쿠팡!B:K,10,FALSE()),"")</f>
        <v>7043014</v>
      </c>
      <c r="H94" s="0" t="str">
        <f aca="false">IFERROR(VLOOKUP(A94,카카오선물하기!B:I,8,FALSE()),"")</f>
        <v/>
      </c>
      <c r="I94" s="0" t="str">
        <f aca="false">IFERROR(VLOOKUP(A94,카카오선물하기!B:J,9,FALSE()),"")</f>
        <v/>
      </c>
      <c r="J94" s="0" t="n">
        <f aca="false">IFERROR(VLOOKUP(A94,자사몰!A:F,6,FALSE()),"")</f>
        <v>90</v>
      </c>
      <c r="K94" s="0" t="n">
        <f aca="false">IFERROR(VLOOKUP(A94,자사몰!A:G,7,FALSE()),"")</f>
        <v>1242000</v>
      </c>
      <c r="L94" s="0" t="n">
        <f aca="false">IFERROR(SUM(D94,F94,H94,J94),"")</f>
        <v>625</v>
      </c>
      <c r="M94" s="0" t="n">
        <f aca="false">IFERROR(SUM(E94,G94,I94,K94),"")</f>
        <v>8676282</v>
      </c>
    </row>
    <row r="95" customFormat="false" ht="15" hidden="false" customHeight="false" outlineLevel="0" collapsed="false">
      <c r="A95" s="0" t="s">
        <v>106</v>
      </c>
      <c r="B95" s="0" t="str">
        <f aca="false">IFERROR(VLOOKUP(A95,상품마스터!A:D,4,FALSE()),"")</f>
        <v>미니바 피넛 20개입</v>
      </c>
      <c r="C95" s="0" t="str">
        <f aca="false">IFERROR(VLOOKUP(A95,상품마스터!A:C,3,FALSE()),"")</f>
        <v>프로틴바</v>
      </c>
      <c r="D95" s="0" t="str">
        <f aca="false">IFERROR(VLOOKUP(A95,스마트스토어!B:I,8,FALSE()),"")</f>
        <v/>
      </c>
      <c r="E95" s="0" t="str">
        <f aca="false">IFERROR(VLOOKUP(A95,스마트스토어!B:J,9,FALSE()),"")</f>
        <v/>
      </c>
      <c r="F95" s="0" t="n">
        <f aca="false">IFERROR(VLOOKUP(A95,쿠팡!B:J,9,FALSE()),"")</f>
        <v>210</v>
      </c>
      <c r="G95" s="0" t="n">
        <f aca="false">IFERROR(VLOOKUP(A95,쿠팡!B:K,10,FALSE()),"")</f>
        <v>2846340</v>
      </c>
      <c r="H95" s="0" t="str">
        <f aca="false">IFERROR(VLOOKUP(A95,카카오선물하기!B:I,8,FALSE()),"")</f>
        <v/>
      </c>
      <c r="I95" s="0" t="str">
        <f aca="false">IFERROR(VLOOKUP(A95,카카오선물하기!B:J,9,FALSE()),"")</f>
        <v/>
      </c>
      <c r="J95" s="0" t="n">
        <f aca="false">IFERROR(VLOOKUP(A95,자사몰!A:F,6,FALSE()),"")</f>
        <v>128</v>
      </c>
      <c r="K95" s="0" t="n">
        <f aca="false">IFERROR(VLOOKUP(A95,자사몰!A:G,7,FALSE()),"")</f>
        <v>1670400</v>
      </c>
      <c r="L95" s="0" t="n">
        <f aca="false">IFERROR(SUM(D95,F95,H95,J95),"")</f>
        <v>338</v>
      </c>
      <c r="M95" s="0" t="n">
        <f aca="false">IFERROR(SUM(E95,G95,I95,K95),"")</f>
        <v>4516740</v>
      </c>
    </row>
    <row r="96" customFormat="false" ht="15" hidden="false" customHeight="false" outlineLevel="0" collapsed="false">
      <c r="A96" s="0" t="s">
        <v>107</v>
      </c>
      <c r="B96" s="0" t="str">
        <f aca="false">IFERROR(VLOOKUP(A96,상품마스터!A:D,4,FALSE()),"")</f>
        <v>그린 파우더 300g</v>
      </c>
      <c r="C96" s="0" t="str">
        <f aca="false">IFERROR(VLOOKUP(A96,상품마스터!A:C,3,FALSE()),"")</f>
        <v>스무디</v>
      </c>
      <c r="D96" s="0" t="n">
        <f aca="false">IFERROR(VLOOKUP(A96,스마트스토어!B:I,8,FALSE()),"")</f>
        <v>261</v>
      </c>
      <c r="E96" s="0" t="n">
        <f aca="false">IFERROR(VLOOKUP(A96,스마트스토어!B:J,9,FALSE()),"")</f>
        <v>5715117</v>
      </c>
      <c r="F96" s="0" t="n">
        <f aca="false">IFERROR(VLOOKUP(A96,쿠팡!B:J,9,FALSE()),"")</f>
        <v>314</v>
      </c>
      <c r="G96" s="0" t="n">
        <f aca="false">IFERROR(VLOOKUP(A96,쿠팡!B:K,10,FALSE()),"")</f>
        <v>6001168</v>
      </c>
      <c r="H96" s="0" t="str">
        <f aca="false">IFERROR(VLOOKUP(A96,카카오선물하기!B:I,8,FALSE()),"")</f>
        <v/>
      </c>
      <c r="I96" s="0" t="str">
        <f aca="false">IFERROR(VLOOKUP(A96,카카오선물하기!B:J,9,FALSE()),"")</f>
        <v/>
      </c>
      <c r="J96" s="0" t="n">
        <f aca="false">IFERROR(VLOOKUP(A96,자사몰!A:F,6,FALSE()),"")</f>
        <v>103</v>
      </c>
      <c r="K96" s="0" t="n">
        <f aca="false">IFERROR(VLOOKUP(A96,자사몰!A:G,7,FALSE()),"")</f>
        <v>1926100</v>
      </c>
      <c r="L96" s="0" t="n">
        <f aca="false">IFERROR(SUM(D96,F96,H96,J96),"")</f>
        <v>678</v>
      </c>
      <c r="M96" s="0" t="n">
        <f aca="false">IFERROR(SUM(E96,G96,I96,K96),"")</f>
        <v>13642385</v>
      </c>
    </row>
    <row r="97" customFormat="false" ht="15" hidden="false" customHeight="false" outlineLevel="0" collapsed="false">
      <c r="A97" s="0" t="s">
        <v>108</v>
      </c>
      <c r="B97" s="0" t="str">
        <f aca="false">IFERROR(VLOOKUP(A97,상품마스터!A:D,4,FALSE()),"")</f>
        <v>베리 파우더 300g</v>
      </c>
      <c r="C97" s="0" t="str">
        <f aca="false">IFERROR(VLOOKUP(A97,상품마스터!A:C,3,FALSE()),"")</f>
        <v>스무디</v>
      </c>
      <c r="D97" s="0" t="n">
        <f aca="false">IFERROR(VLOOKUP(A97,스마트스토어!B:I,8,FALSE()),"")</f>
        <v>110</v>
      </c>
      <c r="E97" s="0" t="n">
        <f aca="false">IFERROR(VLOOKUP(A97,스마트스토어!B:J,9,FALSE()),"")</f>
        <v>2499860</v>
      </c>
      <c r="F97" s="0" t="n">
        <f aca="false">IFERROR(VLOOKUP(A97,쿠팡!B:J,9,FALSE()),"")</f>
        <v>135</v>
      </c>
      <c r="G97" s="0" t="n">
        <f aca="false">IFERROR(VLOOKUP(A97,쿠팡!B:K,10,FALSE()),"")</f>
        <v>2357235</v>
      </c>
      <c r="H97" s="0" t="str">
        <f aca="false">IFERROR(VLOOKUP(A97,카카오선물하기!B:I,8,FALSE()),"")</f>
        <v/>
      </c>
      <c r="I97" s="0" t="str">
        <f aca="false">IFERROR(VLOOKUP(A97,카카오선물하기!B:J,9,FALSE()),"")</f>
        <v/>
      </c>
      <c r="J97" s="0" t="n">
        <f aca="false">IFERROR(VLOOKUP(A97,자사몰!A:F,6,FALSE()),"")</f>
        <v>139</v>
      </c>
      <c r="K97" s="0" t="n">
        <f aca="false">IFERROR(VLOOKUP(A97,자사몰!A:G,7,FALSE()),"")</f>
        <v>2905100</v>
      </c>
      <c r="L97" s="0" t="n">
        <f aca="false">IFERROR(SUM(D97,F97,H97,J97),"")</f>
        <v>384</v>
      </c>
      <c r="M97" s="0" t="n">
        <f aca="false">IFERROR(SUM(E97,G97,I97,K97),"")</f>
        <v>7762195</v>
      </c>
    </row>
    <row r="98" customFormat="false" ht="15" hidden="false" customHeight="false" outlineLevel="0" collapsed="false">
      <c r="A98" s="0" t="s">
        <v>109</v>
      </c>
      <c r="B98" s="0" t="str">
        <f aca="false">IFERROR(VLOOKUP(A98,상품마스터!A:D,4,FALSE()),"")</f>
        <v>프로틴 파우더 300g</v>
      </c>
      <c r="C98" s="0" t="str">
        <f aca="false">IFERROR(VLOOKUP(A98,상품마스터!A:C,3,FALSE()),"")</f>
        <v>스무디</v>
      </c>
      <c r="D98" s="0" t="n">
        <f aca="false">IFERROR(VLOOKUP(A98,스마트스토어!B:I,8,FALSE()),"")</f>
        <v>375</v>
      </c>
      <c r="E98" s="0" t="n">
        <f aca="false">IFERROR(VLOOKUP(A98,스마트스토어!B:J,9,FALSE()),"")</f>
        <v>8648625</v>
      </c>
      <c r="F98" s="0" t="n">
        <f aca="false">IFERROR(VLOOKUP(A98,쿠팡!B:J,9,FALSE()),"")</f>
        <v>216</v>
      </c>
      <c r="G98" s="0" t="n">
        <f aca="false">IFERROR(VLOOKUP(A98,쿠팡!B:K,10,FALSE()),"")</f>
        <v>5102784</v>
      </c>
      <c r="H98" s="0" t="str">
        <f aca="false">IFERROR(VLOOKUP(A98,카카오선물하기!B:I,8,FALSE()),"")</f>
        <v/>
      </c>
      <c r="I98" s="0" t="str">
        <f aca="false">IFERROR(VLOOKUP(A98,카카오선물하기!B:J,9,FALSE()),"")</f>
        <v/>
      </c>
      <c r="J98" s="0" t="n">
        <f aca="false">IFERROR(VLOOKUP(A98,자사몰!A:F,6,FALSE()),"")</f>
        <v>141</v>
      </c>
      <c r="K98" s="0" t="n">
        <f aca="false">IFERROR(VLOOKUP(A98,자사몰!A:G,7,FALSE()),"")</f>
        <v>2996250</v>
      </c>
      <c r="L98" s="0" t="n">
        <f aca="false">IFERROR(SUM(D98,F98,H98,J98),"")</f>
        <v>732</v>
      </c>
      <c r="M98" s="0" t="n">
        <f aca="false">IFERROR(SUM(E98,G98,I98,K98),"")</f>
        <v>16747659</v>
      </c>
    </row>
    <row r="99" customFormat="false" ht="15" hidden="false" customHeight="false" outlineLevel="0" collapsed="false">
      <c r="A99" s="0" t="s">
        <v>110</v>
      </c>
      <c r="B99" s="0" t="str">
        <f aca="false">IFERROR(VLOOKUP(A99,상품마스터!A:D,4,FALSE()),"")</f>
        <v>망고 파우더 300g</v>
      </c>
      <c r="C99" s="0" t="str">
        <f aca="false">IFERROR(VLOOKUP(A99,상품마스터!A:C,3,FALSE()),"")</f>
        <v>스무디</v>
      </c>
      <c r="D99" s="0" t="n">
        <f aca="false">IFERROR(VLOOKUP(A99,스마트스토어!B:I,8,FALSE()),"")</f>
        <v>211</v>
      </c>
      <c r="E99" s="0" t="n">
        <f aca="false">IFERROR(VLOOKUP(A99,스마트스토어!B:J,9,FALSE()),"")</f>
        <v>4350187</v>
      </c>
      <c r="F99" s="0" t="n">
        <f aca="false">IFERROR(VLOOKUP(A99,쿠팡!B:J,9,FALSE()),"")</f>
        <v>413</v>
      </c>
      <c r="G99" s="0" t="n">
        <f aca="false">IFERROR(VLOOKUP(A99,쿠팡!B:K,10,FALSE()),"")</f>
        <v>9071545</v>
      </c>
      <c r="H99" s="0" t="str">
        <f aca="false">IFERROR(VLOOKUP(A99,카카오선물하기!B:I,8,FALSE()),"")</f>
        <v/>
      </c>
      <c r="I99" s="0" t="str">
        <f aca="false">IFERROR(VLOOKUP(A99,카카오선물하기!B:J,9,FALSE()),"")</f>
        <v/>
      </c>
      <c r="J99" s="0" t="n">
        <f aca="false">IFERROR(VLOOKUP(A99,자사몰!A:F,6,FALSE()),"")</f>
        <v>86</v>
      </c>
      <c r="K99" s="0" t="n">
        <f aca="false">IFERROR(VLOOKUP(A99,자사몰!A:G,7,FALSE()),"")</f>
        <v>1589280</v>
      </c>
      <c r="L99" s="0" t="n">
        <f aca="false">IFERROR(SUM(D99,F99,H99,J99),"")</f>
        <v>710</v>
      </c>
      <c r="M99" s="0" t="n">
        <f aca="false">IFERROR(SUM(E99,G99,I99,K99),"")</f>
        <v>15011012</v>
      </c>
    </row>
    <row r="100" customFormat="false" ht="15" hidden="false" customHeight="false" outlineLevel="0" collapsed="false">
      <c r="A100" s="0" t="s">
        <v>111</v>
      </c>
      <c r="B100" s="0" t="str">
        <f aca="false">IFERROR(VLOOKUP(A100,상품마스터!A:D,4,FALSE()),"")</f>
        <v>바나나 파우더 300g</v>
      </c>
      <c r="C100" s="0" t="str">
        <f aca="false">IFERROR(VLOOKUP(A100,상품마스터!A:C,3,FALSE()),"")</f>
        <v>스무디</v>
      </c>
      <c r="D100" s="0" t="n">
        <f aca="false">IFERROR(VLOOKUP(A100,스마트스토어!B:I,8,FALSE()),"")</f>
        <v>198</v>
      </c>
      <c r="E100" s="0" t="n">
        <f aca="false">IFERROR(VLOOKUP(A100,스마트스토어!B:J,9,FALSE()),"")</f>
        <v>4131072</v>
      </c>
      <c r="F100" s="0" t="n">
        <f aca="false">IFERROR(VLOOKUP(A100,쿠팡!B:J,9,FALSE()),"")</f>
        <v>57</v>
      </c>
      <c r="G100" s="0" t="n">
        <f aca="false">IFERROR(VLOOKUP(A100,쿠팡!B:K,10,FALSE()),"")</f>
        <v>989235</v>
      </c>
      <c r="H100" s="0" t="str">
        <f aca="false">IFERROR(VLOOKUP(A100,카카오선물하기!B:I,8,FALSE()),"")</f>
        <v/>
      </c>
      <c r="I100" s="0" t="str">
        <f aca="false">IFERROR(VLOOKUP(A100,카카오선물하기!B:J,9,FALSE()),"")</f>
        <v/>
      </c>
      <c r="J100" s="0" t="n">
        <f aca="false">IFERROR(VLOOKUP(A100,자사몰!A:F,6,FALSE()),"")</f>
        <v>111</v>
      </c>
      <c r="K100" s="0" t="n">
        <f aca="false">IFERROR(VLOOKUP(A100,자사몰!A:G,7,FALSE()),"")</f>
        <v>2109000</v>
      </c>
      <c r="L100" s="0" t="n">
        <f aca="false">IFERROR(SUM(D100,F100,H100,J100),"")</f>
        <v>366</v>
      </c>
      <c r="M100" s="0" t="n">
        <f aca="false">IFERROR(SUM(E100,G100,I100,K100),"")</f>
        <v>7229307</v>
      </c>
    </row>
    <row r="101" customFormat="false" ht="15" hidden="false" customHeight="false" outlineLevel="0" collapsed="false">
      <c r="A101" s="0" t="s">
        <v>112</v>
      </c>
      <c r="B101" s="0" t="str">
        <f aca="false">IFERROR(VLOOKUP(A101,상품마스터!A:D,4,FALSE()),"")</f>
        <v>아사이 파우더 300g</v>
      </c>
      <c r="C101" s="0" t="str">
        <f aca="false">IFERROR(VLOOKUP(A101,상품마스터!A:C,3,FALSE()),"")</f>
        <v>스무디</v>
      </c>
      <c r="D101" s="0" t="n">
        <f aca="false">IFERROR(VLOOKUP(A101,스마트스토어!B:I,8,FALSE()),"")</f>
        <v>88</v>
      </c>
      <c r="E101" s="0" t="n">
        <f aca="false">IFERROR(VLOOKUP(A101,스마트스토어!B:J,9,FALSE()),"")</f>
        <v>2290552</v>
      </c>
      <c r="F101" s="0" t="n">
        <f aca="false">IFERROR(VLOOKUP(A101,쿠팡!B:J,9,FALSE()),"")</f>
        <v>577</v>
      </c>
      <c r="G101" s="0" t="n">
        <f aca="false">IFERROR(VLOOKUP(A101,쿠팡!B:K,10,FALSE()),"")</f>
        <v>12744199</v>
      </c>
      <c r="H101" s="0" t="str">
        <f aca="false">IFERROR(VLOOKUP(A101,카카오선물하기!B:I,8,FALSE()),"")</f>
        <v/>
      </c>
      <c r="I101" s="0" t="str">
        <f aca="false">IFERROR(VLOOKUP(A101,카카오선물하기!B:J,9,FALSE()),"")</f>
        <v/>
      </c>
      <c r="J101" s="0" t="n">
        <f aca="false">IFERROR(VLOOKUP(A101,자사몰!A:F,6,FALSE()),"")</f>
        <v>46</v>
      </c>
      <c r="K101" s="0" t="n">
        <f aca="false">IFERROR(VLOOKUP(A101,자사몰!A:G,7,FALSE()),"")</f>
        <v>1016600</v>
      </c>
      <c r="L101" s="0" t="n">
        <f aca="false">IFERROR(SUM(D101,F101,H101,J101),"")</f>
        <v>711</v>
      </c>
      <c r="M101" s="0" t="n">
        <f aca="false">IFERROR(SUM(E101,G101,I101,K101),"")</f>
        <v>16051351</v>
      </c>
    </row>
    <row r="102" customFormat="false" ht="15" hidden="false" customHeight="false" outlineLevel="0" collapsed="false">
      <c r="A102" s="0" t="s">
        <v>113</v>
      </c>
      <c r="B102" s="0" t="str">
        <f aca="false">IFERROR(VLOOKUP(A102,상품마스터!A:D,4,FALSE()),"")</f>
        <v>그린 파우더 600g</v>
      </c>
      <c r="C102" s="0" t="str">
        <f aca="false">IFERROR(VLOOKUP(A102,상품마스터!A:C,3,FALSE()),"")</f>
        <v>스무디</v>
      </c>
      <c r="D102" s="0" t="n">
        <f aca="false">IFERROR(VLOOKUP(A102,스마트스토어!B:I,8,FALSE()),"")</f>
        <v>228</v>
      </c>
      <c r="E102" s="0" t="n">
        <f aca="false">IFERROR(VLOOKUP(A102,스마트스토어!B:J,9,FALSE()),"")</f>
        <v>8788944</v>
      </c>
      <c r="F102" s="0" t="n">
        <f aca="false">IFERROR(VLOOKUP(A102,쿠팡!B:J,9,FALSE()),"")</f>
        <v>425</v>
      </c>
      <c r="G102" s="0" t="n">
        <f aca="false">IFERROR(VLOOKUP(A102,쿠팡!B:K,10,FALSE()),"")</f>
        <v>15725425</v>
      </c>
      <c r="H102" s="0" t="str">
        <f aca="false">IFERROR(VLOOKUP(A102,카카오선물하기!B:I,8,FALSE()),"")</f>
        <v/>
      </c>
      <c r="I102" s="0" t="str">
        <f aca="false">IFERROR(VLOOKUP(A102,카카오선물하기!B:J,9,FALSE()),"")</f>
        <v/>
      </c>
      <c r="J102" s="0" t="n">
        <f aca="false">IFERROR(VLOOKUP(A102,자사몰!A:F,6,FALSE()),"")</f>
        <v>87</v>
      </c>
      <c r="K102" s="0" t="n">
        <f aca="false">IFERROR(VLOOKUP(A102,자사몰!A:G,7,FALSE()),"")</f>
        <v>3140700</v>
      </c>
      <c r="L102" s="0" t="n">
        <f aca="false">IFERROR(SUM(D102,F102,H102,J102),"")</f>
        <v>740</v>
      </c>
      <c r="M102" s="0" t="n">
        <f aca="false">IFERROR(SUM(E102,G102,I102,K102),"")</f>
        <v>27655069</v>
      </c>
    </row>
    <row r="103" customFormat="false" ht="15" hidden="false" customHeight="false" outlineLevel="0" collapsed="false">
      <c r="A103" s="0" t="s">
        <v>114</v>
      </c>
      <c r="B103" s="0" t="str">
        <f aca="false">IFERROR(VLOOKUP(A103,상품마스터!A:D,4,FALSE()),"")</f>
        <v>베리 파우더 600g</v>
      </c>
      <c r="C103" s="0" t="str">
        <f aca="false">IFERROR(VLOOKUP(A103,상품마스터!A:C,3,FALSE()),"")</f>
        <v>스무디</v>
      </c>
      <c r="D103" s="0" t="str">
        <f aca="false">IFERROR(VLOOKUP(A103,스마트스토어!B:I,8,FALSE()),"")</f>
        <v/>
      </c>
      <c r="E103" s="0" t="str">
        <f aca="false">IFERROR(VLOOKUP(A103,스마트스토어!B:J,9,FALSE()),"")</f>
        <v/>
      </c>
      <c r="F103" s="0" t="n">
        <f aca="false">IFERROR(VLOOKUP(A103,쿠팡!B:J,9,FALSE()),"")</f>
        <v>193</v>
      </c>
      <c r="G103" s="0" t="n">
        <f aca="false">IFERROR(VLOOKUP(A103,쿠팡!B:K,10,FALSE()),"")</f>
        <v>6731261</v>
      </c>
      <c r="H103" s="0" t="str">
        <f aca="false">IFERROR(VLOOKUP(A103,카카오선물하기!B:I,8,FALSE()),"")</f>
        <v/>
      </c>
      <c r="I103" s="0" t="str">
        <f aca="false">IFERROR(VLOOKUP(A103,카카오선물하기!B:J,9,FALSE()),"")</f>
        <v/>
      </c>
      <c r="J103" s="0" t="n">
        <f aca="false">IFERROR(VLOOKUP(A103,자사몰!A:F,6,FALSE()),"")</f>
        <v>138</v>
      </c>
      <c r="K103" s="0" t="n">
        <f aca="false">IFERROR(VLOOKUP(A103,자사몰!A:G,7,FALSE()),"")</f>
        <v>4457400</v>
      </c>
      <c r="L103" s="0" t="n">
        <f aca="false">IFERROR(SUM(D103,F103,H103,J103),"")</f>
        <v>331</v>
      </c>
      <c r="M103" s="0" t="n">
        <f aca="false">IFERROR(SUM(E103,G103,I103,K103),"")</f>
        <v>11188661</v>
      </c>
    </row>
    <row r="104" customFormat="false" ht="15" hidden="false" customHeight="false" outlineLevel="0" collapsed="false">
      <c r="A104" s="0" t="s">
        <v>115</v>
      </c>
      <c r="B104" s="0" t="str">
        <f aca="false">IFERROR(VLOOKUP(A104,상품마스터!A:D,4,FALSE()),"")</f>
        <v>프로틴 파우더 600g</v>
      </c>
      <c r="C104" s="0" t="str">
        <f aca="false">IFERROR(VLOOKUP(A104,상품마스터!A:C,3,FALSE()),"")</f>
        <v>스무디</v>
      </c>
      <c r="D104" s="0" t="n">
        <f aca="false">IFERROR(VLOOKUP(A104,스마트스토어!B:I,8,FALSE()),"")</f>
        <v>58</v>
      </c>
      <c r="E104" s="0" t="n">
        <f aca="false">IFERROR(VLOOKUP(A104,스마트스토어!B:J,9,FALSE()),"")</f>
        <v>2541908</v>
      </c>
      <c r="F104" s="0" t="n">
        <f aca="false">IFERROR(VLOOKUP(A104,쿠팡!B:J,9,FALSE()),"")</f>
        <v>448</v>
      </c>
      <c r="G104" s="0" t="n">
        <f aca="false">IFERROR(VLOOKUP(A104,쿠팡!B:K,10,FALSE()),"")</f>
        <v>18053952</v>
      </c>
      <c r="H104" s="0" t="str">
        <f aca="false">IFERROR(VLOOKUP(A104,카카오선물하기!B:I,8,FALSE()),"")</f>
        <v/>
      </c>
      <c r="I104" s="0" t="str">
        <f aca="false">IFERROR(VLOOKUP(A104,카카오선물하기!B:J,9,FALSE()),"")</f>
        <v/>
      </c>
      <c r="J104" s="0" t="n">
        <f aca="false">IFERROR(VLOOKUP(A104,자사몰!A:F,6,FALSE()),"")</f>
        <v>33</v>
      </c>
      <c r="K104" s="0" t="n">
        <f aca="false">IFERROR(VLOOKUP(A104,자사몰!A:G,7,FALSE()),"")</f>
        <v>1206150</v>
      </c>
      <c r="L104" s="0" t="n">
        <f aca="false">IFERROR(SUM(D104,F104,H104,J104),"")</f>
        <v>539</v>
      </c>
      <c r="M104" s="0" t="n">
        <f aca="false">IFERROR(SUM(E104,G104,I104,K104),"")</f>
        <v>21802010</v>
      </c>
    </row>
    <row r="105" customFormat="false" ht="15" hidden="false" customHeight="false" outlineLevel="0" collapsed="false">
      <c r="A105" s="0" t="s">
        <v>116</v>
      </c>
      <c r="B105" s="0" t="str">
        <f aca="false">IFERROR(VLOOKUP(A105,상품마스터!A:D,4,FALSE()),"")</f>
        <v>그린 스틱 10개입</v>
      </c>
      <c r="C105" s="0" t="str">
        <f aca="false">IFERROR(VLOOKUP(A105,상품마스터!A:C,3,FALSE()),"")</f>
        <v>스무디</v>
      </c>
      <c r="D105" s="0" t="n">
        <f aca="false">IFERROR(VLOOKUP(A105,스마트스토어!B:I,8,FALSE()),"")</f>
        <v>316</v>
      </c>
      <c r="E105" s="0" t="n">
        <f aca="false">IFERROR(VLOOKUP(A105,스마트스토어!B:J,9,FALSE()),"")</f>
        <v>4833220</v>
      </c>
      <c r="F105" s="0" t="n">
        <f aca="false">IFERROR(VLOOKUP(A105,쿠팡!B:J,9,FALSE()),"")</f>
        <v>343</v>
      </c>
      <c r="G105" s="0" t="n">
        <f aca="false">IFERROR(VLOOKUP(A105,쿠팡!B:K,10,FALSE()),"")</f>
        <v>4696699</v>
      </c>
      <c r="H105" s="0" t="str">
        <f aca="false">IFERROR(VLOOKUP(A105,카카오선물하기!B:I,8,FALSE()),"")</f>
        <v/>
      </c>
      <c r="I105" s="0" t="str">
        <f aca="false">IFERROR(VLOOKUP(A105,카카오선물하기!B:J,9,FALSE()),"")</f>
        <v/>
      </c>
      <c r="J105" s="0" t="n">
        <f aca="false">IFERROR(VLOOKUP(A105,자사몰!A:F,6,FALSE()),"")</f>
        <v>52</v>
      </c>
      <c r="K105" s="0" t="n">
        <f aca="false">IFERROR(VLOOKUP(A105,자사몰!A:G,7,FALSE()),"")</f>
        <v>741000</v>
      </c>
      <c r="L105" s="0" t="n">
        <f aca="false">IFERROR(SUM(D105,F105,H105,J105),"")</f>
        <v>711</v>
      </c>
      <c r="M105" s="0" t="n">
        <f aca="false">IFERROR(SUM(E105,G105,I105,K105),"")</f>
        <v>10270919</v>
      </c>
    </row>
    <row r="106" customFormat="false" ht="15" hidden="false" customHeight="false" outlineLevel="0" collapsed="false">
      <c r="A106" s="0" t="s">
        <v>117</v>
      </c>
      <c r="B106" s="0" t="str">
        <f aca="false">IFERROR(VLOOKUP(A106,상품마스터!A:D,4,FALSE()),"")</f>
        <v>베리 스틱 10개입</v>
      </c>
      <c r="C106" s="0" t="str">
        <f aca="false">IFERROR(VLOOKUP(A106,상품마스터!A:C,3,FALSE()),"")</f>
        <v>스무디</v>
      </c>
      <c r="D106" s="0" t="n">
        <f aca="false">IFERROR(VLOOKUP(A106,스마트스토어!B:I,8,FALSE()),"")</f>
        <v>436</v>
      </c>
      <c r="E106" s="0" t="n">
        <f aca="false">IFERROR(VLOOKUP(A106,스마트스토어!B:J,9,FALSE()),"")</f>
        <v>6835608</v>
      </c>
      <c r="F106" s="0" t="n">
        <f aca="false">IFERROR(VLOOKUP(A106,쿠팡!B:J,9,FALSE()),"")</f>
        <v>119</v>
      </c>
      <c r="G106" s="0" t="n">
        <f aca="false">IFERROR(VLOOKUP(A106,쿠팡!B:K,10,FALSE()),"")</f>
        <v>1726452</v>
      </c>
      <c r="H106" s="0" t="str">
        <f aca="false">IFERROR(VLOOKUP(A106,카카오선물하기!B:I,8,FALSE()),"")</f>
        <v/>
      </c>
      <c r="I106" s="0" t="str">
        <f aca="false">IFERROR(VLOOKUP(A106,카카오선물하기!B:J,9,FALSE()),"")</f>
        <v/>
      </c>
      <c r="J106" s="0" t="n">
        <f aca="false">IFERROR(VLOOKUP(A106,자사몰!A:F,6,FALSE()),"")</f>
        <v>87</v>
      </c>
      <c r="K106" s="0" t="n">
        <f aca="false">IFERROR(VLOOKUP(A106,자사몰!A:G,7,FALSE()),"")</f>
        <v>1200600</v>
      </c>
      <c r="L106" s="0" t="n">
        <f aca="false">IFERROR(SUM(D106,F106,H106,J106),"")</f>
        <v>642</v>
      </c>
      <c r="M106" s="0" t="n">
        <f aca="false">IFERROR(SUM(E106,G106,I106,K106),"")</f>
        <v>9762660</v>
      </c>
    </row>
    <row r="107" customFormat="false" ht="15" hidden="false" customHeight="false" outlineLevel="0" collapsed="false">
      <c r="A107" s="0" t="s">
        <v>118</v>
      </c>
      <c r="B107" s="0" t="str">
        <f aca="false">IFERROR(VLOOKUP(A107,상품마스터!A:D,4,FALSE()),"")</f>
        <v>프로틴 스틱 10개입</v>
      </c>
      <c r="C107" s="0" t="str">
        <f aca="false">IFERROR(VLOOKUP(A107,상품마스터!A:C,3,FALSE()),"")</f>
        <v>스무디</v>
      </c>
      <c r="D107" s="0" t="n">
        <f aca="false">IFERROR(VLOOKUP(A107,스마트스토어!B:I,8,FALSE()),"")</f>
        <v>238</v>
      </c>
      <c r="E107" s="0" t="n">
        <f aca="false">IFERROR(VLOOKUP(A107,스마트스토어!B:J,9,FALSE()),"")</f>
        <v>4043858</v>
      </c>
      <c r="F107" s="0" t="n">
        <f aca="false">IFERROR(VLOOKUP(A107,쿠팡!B:J,9,FALSE()),"")</f>
        <v>475</v>
      </c>
      <c r="G107" s="0" t="n">
        <f aca="false">IFERROR(VLOOKUP(A107,쿠팡!B:K,10,FALSE()),"")</f>
        <v>7394325</v>
      </c>
      <c r="H107" s="0" t="str">
        <f aca="false">IFERROR(VLOOKUP(A107,카카오선물하기!B:I,8,FALSE()),"")</f>
        <v/>
      </c>
      <c r="I107" s="0" t="str">
        <f aca="false">IFERROR(VLOOKUP(A107,카카오선물하기!B:J,9,FALSE()),"")</f>
        <v/>
      </c>
      <c r="J107" s="0" t="n">
        <f aca="false">IFERROR(VLOOKUP(A107,자사몰!A:F,6,FALSE()),"")</f>
        <v>112</v>
      </c>
      <c r="K107" s="0" t="n">
        <f aca="false">IFERROR(VLOOKUP(A107,자사몰!A:G,7,FALSE()),"")</f>
        <v>1751680</v>
      </c>
      <c r="L107" s="0" t="n">
        <f aca="false">IFERROR(SUM(D107,F107,H107,J107),"")</f>
        <v>825</v>
      </c>
      <c r="M107" s="0" t="n">
        <f aca="false">IFERROR(SUM(E107,G107,I107,K107),"")</f>
        <v>13189863</v>
      </c>
    </row>
    <row r="108" customFormat="false" ht="15" hidden="false" customHeight="false" outlineLevel="0" collapsed="false">
      <c r="A108" s="0" t="s">
        <v>119</v>
      </c>
      <c r="B108" s="0" t="str">
        <f aca="false">IFERROR(VLOOKUP(A108,상품마스터!A:D,4,FALSE()),"")</f>
        <v>그린 스틱 30개입</v>
      </c>
      <c r="C108" s="0" t="str">
        <f aca="false">IFERROR(VLOOKUP(A108,상품마스터!A:C,3,FALSE()),"")</f>
        <v>스무디</v>
      </c>
      <c r="D108" s="0" t="n">
        <f aca="false">IFERROR(VLOOKUP(A108,스마트스토어!B:I,8,FALSE()),"")</f>
        <v>382</v>
      </c>
      <c r="E108" s="0" t="n">
        <f aca="false">IFERROR(VLOOKUP(A108,스마트스토어!B:J,9,FALSE()),"")</f>
        <v>15008398</v>
      </c>
      <c r="F108" s="0" t="n">
        <f aca="false">IFERROR(VLOOKUP(A108,쿠팡!B:J,9,FALSE()),"")</f>
        <v>125</v>
      </c>
      <c r="G108" s="0" t="n">
        <f aca="false">IFERROR(VLOOKUP(A108,쿠팡!B:K,10,FALSE()),"")</f>
        <v>4898250</v>
      </c>
      <c r="H108" s="0" t="str">
        <f aca="false">IFERROR(VLOOKUP(A108,카카오선물하기!B:I,8,FALSE()),"")</f>
        <v/>
      </c>
      <c r="I108" s="0" t="str">
        <f aca="false">IFERROR(VLOOKUP(A108,카카오선물하기!B:J,9,FALSE()),"")</f>
        <v/>
      </c>
      <c r="J108" s="0" t="n">
        <f aca="false">IFERROR(VLOOKUP(A108,자사몰!A:F,6,FALSE()),"")</f>
        <v>51</v>
      </c>
      <c r="K108" s="0" t="n">
        <f aca="false">IFERROR(VLOOKUP(A108,자사몰!A:G,7,FALSE()),"")</f>
        <v>1690650</v>
      </c>
      <c r="L108" s="0" t="n">
        <f aca="false">IFERROR(SUM(D108,F108,H108,J108),"")</f>
        <v>558</v>
      </c>
      <c r="M108" s="0" t="n">
        <f aca="false">IFERROR(SUM(E108,G108,I108,K108),"")</f>
        <v>21597298</v>
      </c>
    </row>
    <row r="109" customFormat="false" ht="15" hidden="false" customHeight="false" outlineLevel="0" collapsed="false">
      <c r="A109" s="0" t="s">
        <v>120</v>
      </c>
      <c r="B109" s="0" t="str">
        <f aca="false">IFERROR(VLOOKUP(A109,상품마스터!A:D,4,FALSE()),"")</f>
        <v>베리 스틱 30개입</v>
      </c>
      <c r="C109" s="0" t="str">
        <f aca="false">IFERROR(VLOOKUP(A109,상품마스터!A:C,3,FALSE()),"")</f>
        <v>스무디</v>
      </c>
      <c r="D109" s="0" t="str">
        <f aca="false">IFERROR(VLOOKUP(A109,스마트스토어!B:I,8,FALSE()),"")</f>
        <v/>
      </c>
      <c r="E109" s="0" t="str">
        <f aca="false">IFERROR(VLOOKUP(A109,스마트스토어!B:J,9,FALSE()),"")</f>
        <v/>
      </c>
      <c r="F109" s="0" t="str">
        <f aca="false">IFERROR(VLOOKUP(A109,쿠팡!B:J,9,FALSE()),"")</f>
        <v/>
      </c>
      <c r="G109" s="0" t="str">
        <f aca="false">IFERROR(VLOOKUP(A109,쿠팡!B:K,10,FALSE()),"")</f>
        <v/>
      </c>
      <c r="H109" s="0" t="str">
        <f aca="false">IFERROR(VLOOKUP(A109,카카오선물하기!B:I,8,FALSE()),"")</f>
        <v/>
      </c>
      <c r="I109" s="0" t="str">
        <f aca="false">IFERROR(VLOOKUP(A109,카카오선물하기!B:J,9,FALSE()),"")</f>
        <v/>
      </c>
      <c r="J109" s="0" t="n">
        <f aca="false">IFERROR(VLOOKUP(A109,자사몰!A:F,6,FALSE()),"")</f>
        <v>101</v>
      </c>
      <c r="K109" s="0" t="n">
        <f aca="false">IFERROR(VLOOKUP(A109,자사몰!A:G,7,FALSE()),"")</f>
        <v>3623880</v>
      </c>
      <c r="L109" s="0" t="n">
        <f aca="false">IFERROR(SUM(D109,F109,H109,J109),"")</f>
        <v>101</v>
      </c>
      <c r="M109" s="0" t="n">
        <f aca="false">IFERROR(SUM(E109,G109,I109,K109),"")</f>
        <v>3623880</v>
      </c>
    </row>
    <row r="110" customFormat="false" ht="15" hidden="false" customHeight="false" outlineLevel="0" collapsed="false">
      <c r="A110" s="2" t="s">
        <v>121</v>
      </c>
      <c r="B110" s="2"/>
      <c r="C110" s="2"/>
      <c r="D110" s="2" t="n">
        <f aca="false">SUM(D2:D109)</f>
        <v>20818</v>
      </c>
      <c r="E110" s="2" t="n">
        <f aca="false">SUM(E2:E109)</f>
        <v>427344131</v>
      </c>
      <c r="F110" s="2" t="n">
        <f aca="false">SUM(F2:F109)</f>
        <v>26182</v>
      </c>
      <c r="G110" s="2" t="n">
        <f aca="false">SUM(G2:G109)</f>
        <v>524689604</v>
      </c>
      <c r="H110" s="2" t="n">
        <f aca="false">SUM(H2:H109)</f>
        <v>5237</v>
      </c>
      <c r="I110" s="2" t="n">
        <f aca="false">SUM(I2:I109)</f>
        <v>145175705</v>
      </c>
      <c r="J110" s="2" t="n">
        <f aca="false">SUM(J2:J109)</f>
        <v>8884</v>
      </c>
      <c r="K110" s="2" t="n">
        <f aca="false">SUM(K2:K109)</f>
        <v>158549687</v>
      </c>
      <c r="L110" s="2" t="n">
        <f aca="false">SUM(L2:L109)</f>
        <v>61121</v>
      </c>
      <c r="M110" s="2" t="n">
        <f aca="false">SUM(M2:M109)</f>
        <v>1255759127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</cols>
  <sheetData>
    <row r="1" customFormat="false" ht="17.9" hidden="false" customHeight="false" outlineLevel="0" collapsed="false">
      <c r="A1" s="3" t="s">
        <v>122</v>
      </c>
    </row>
    <row r="3" customFormat="false" ht="14.9" hidden="false" customHeight="false" outlineLevel="0" collapsed="false">
      <c r="A3" s="4" t="s">
        <v>123</v>
      </c>
    </row>
    <row r="4" customFormat="false" ht="14.9" hidden="false" customHeight="false" outlineLevel="0" collapsed="false">
      <c r="A4" s="4" t="s">
        <v>124</v>
      </c>
    </row>
    <row r="5" customFormat="false" ht="14.9" hidden="false" customHeight="false" outlineLevel="0" collapsed="false">
      <c r="A5" s="4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28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5" t="s">
        <v>0</v>
      </c>
      <c r="B1" s="5" t="s">
        <v>126</v>
      </c>
      <c r="C1" s="5" t="s">
        <v>2</v>
      </c>
      <c r="D1" s="5" t="s">
        <v>1</v>
      </c>
      <c r="E1" s="5" t="s">
        <v>127</v>
      </c>
      <c r="F1" s="5" t="s">
        <v>128</v>
      </c>
      <c r="G1" s="5" t="s">
        <v>129</v>
      </c>
      <c r="H1" s="5" t="s">
        <v>130</v>
      </c>
      <c r="I1" s="5" t="s">
        <v>131</v>
      </c>
    </row>
    <row r="2" customFormat="false" ht="15" hidden="false" customHeight="false" outlineLevel="0" collapsed="false">
      <c r="A2" s="6" t="s">
        <v>49</v>
      </c>
      <c r="B2" s="7" t="s">
        <v>132</v>
      </c>
      <c r="C2" s="7" t="s">
        <v>133</v>
      </c>
      <c r="D2" s="7" t="s">
        <v>134</v>
      </c>
      <c r="E2" s="8" t="n">
        <v>8500</v>
      </c>
      <c r="F2" s="8" t="n">
        <v>4200</v>
      </c>
      <c r="G2" s="9" t="n">
        <v>0.506</v>
      </c>
      <c r="H2" s="6" t="s">
        <v>135</v>
      </c>
      <c r="I2" s="7" t="s">
        <v>136</v>
      </c>
    </row>
    <row r="3" customFormat="false" ht="15" hidden="false" customHeight="false" outlineLevel="0" collapsed="false">
      <c r="A3" s="6" t="s">
        <v>50</v>
      </c>
      <c r="B3" s="7" t="s">
        <v>132</v>
      </c>
      <c r="C3" s="7" t="s">
        <v>133</v>
      </c>
      <c r="D3" s="7" t="s">
        <v>137</v>
      </c>
      <c r="E3" s="8" t="n">
        <v>9200</v>
      </c>
      <c r="F3" s="8" t="n">
        <v>4800</v>
      </c>
      <c r="G3" s="9" t="n">
        <v>0.478</v>
      </c>
      <c r="H3" s="6" t="s">
        <v>138</v>
      </c>
      <c r="I3" s="7" t="s">
        <v>139</v>
      </c>
    </row>
    <row r="4" customFormat="false" ht="15" hidden="false" customHeight="false" outlineLevel="0" collapsed="false">
      <c r="A4" s="6" t="s">
        <v>51</v>
      </c>
      <c r="B4" s="7" t="s">
        <v>132</v>
      </c>
      <c r="C4" s="7" t="s">
        <v>133</v>
      </c>
      <c r="D4" s="7" t="s">
        <v>140</v>
      </c>
      <c r="E4" s="8" t="n">
        <v>9500</v>
      </c>
      <c r="F4" s="8" t="n">
        <v>5000</v>
      </c>
      <c r="G4" s="9" t="n">
        <v>0.474</v>
      </c>
      <c r="H4" s="6" t="s">
        <v>141</v>
      </c>
      <c r="I4" s="7" t="s">
        <v>136</v>
      </c>
    </row>
    <row r="5" customFormat="false" ht="15" hidden="false" customHeight="false" outlineLevel="0" collapsed="false">
      <c r="A5" s="6" t="s">
        <v>52</v>
      </c>
      <c r="B5" s="7" t="s">
        <v>132</v>
      </c>
      <c r="C5" s="7" t="s">
        <v>133</v>
      </c>
      <c r="D5" s="7" t="s">
        <v>142</v>
      </c>
      <c r="E5" s="8" t="n">
        <v>9000</v>
      </c>
      <c r="F5" s="8" t="n">
        <v>4500</v>
      </c>
      <c r="G5" s="9" t="n">
        <v>0.5</v>
      </c>
      <c r="H5" s="6" t="s">
        <v>143</v>
      </c>
      <c r="I5" s="7" t="s">
        <v>136</v>
      </c>
    </row>
    <row r="6" customFormat="false" ht="15" hidden="false" customHeight="false" outlineLevel="0" collapsed="false">
      <c r="A6" s="6" t="s">
        <v>53</v>
      </c>
      <c r="B6" s="7" t="s">
        <v>132</v>
      </c>
      <c r="C6" s="7" t="s">
        <v>133</v>
      </c>
      <c r="D6" s="7" t="s">
        <v>144</v>
      </c>
      <c r="E6" s="8" t="n">
        <v>9800</v>
      </c>
      <c r="F6" s="8" t="n">
        <v>5200</v>
      </c>
      <c r="G6" s="9" t="n">
        <v>0.469</v>
      </c>
      <c r="H6" s="6" t="s">
        <v>145</v>
      </c>
      <c r="I6" s="7" t="s">
        <v>136</v>
      </c>
    </row>
    <row r="7" customFormat="false" ht="15" hidden="false" customHeight="false" outlineLevel="0" collapsed="false">
      <c r="A7" s="6" t="s">
        <v>54</v>
      </c>
      <c r="B7" s="7" t="s">
        <v>132</v>
      </c>
      <c r="C7" s="7" t="s">
        <v>133</v>
      </c>
      <c r="D7" s="7" t="s">
        <v>146</v>
      </c>
      <c r="E7" s="8" t="n">
        <v>8800</v>
      </c>
      <c r="F7" s="8" t="n">
        <v>4400</v>
      </c>
      <c r="G7" s="9" t="n">
        <v>0.5</v>
      </c>
      <c r="H7" s="6" t="s">
        <v>147</v>
      </c>
      <c r="I7" s="7" t="s">
        <v>136</v>
      </c>
    </row>
    <row r="8" customFormat="false" ht="15" hidden="false" customHeight="false" outlineLevel="0" collapsed="false">
      <c r="A8" s="6" t="s">
        <v>55</v>
      </c>
      <c r="B8" s="7" t="s">
        <v>132</v>
      </c>
      <c r="C8" s="7" t="s">
        <v>133</v>
      </c>
      <c r="D8" s="7" t="s">
        <v>148</v>
      </c>
      <c r="E8" s="8" t="n">
        <v>9300</v>
      </c>
      <c r="F8" s="8" t="n">
        <v>4700</v>
      </c>
      <c r="G8" s="9" t="n">
        <v>0.495</v>
      </c>
      <c r="H8" s="6" t="s">
        <v>149</v>
      </c>
      <c r="I8" s="7" t="s">
        <v>136</v>
      </c>
    </row>
    <row r="9" customFormat="false" ht="15" hidden="false" customHeight="false" outlineLevel="0" collapsed="false">
      <c r="A9" s="6" t="s">
        <v>56</v>
      </c>
      <c r="B9" s="7" t="s">
        <v>132</v>
      </c>
      <c r="C9" s="7" t="s">
        <v>133</v>
      </c>
      <c r="D9" s="7" t="s">
        <v>150</v>
      </c>
      <c r="E9" s="8" t="n">
        <v>9500</v>
      </c>
      <c r="F9" s="8" t="n">
        <v>4900</v>
      </c>
      <c r="G9" s="9" t="n">
        <v>0.484</v>
      </c>
      <c r="H9" s="6" t="s">
        <v>151</v>
      </c>
      <c r="I9" s="7" t="s">
        <v>136</v>
      </c>
    </row>
    <row r="10" customFormat="false" ht="15" hidden="false" customHeight="false" outlineLevel="0" collapsed="false">
      <c r="A10" s="6" t="s">
        <v>57</v>
      </c>
      <c r="B10" s="7" t="s">
        <v>132</v>
      </c>
      <c r="C10" s="7" t="s">
        <v>133</v>
      </c>
      <c r="D10" s="7" t="s">
        <v>152</v>
      </c>
      <c r="E10" s="8" t="n">
        <v>10000</v>
      </c>
      <c r="F10" s="8" t="n">
        <v>5300</v>
      </c>
      <c r="G10" s="9" t="n">
        <v>0.47</v>
      </c>
      <c r="H10" s="6" t="s">
        <v>153</v>
      </c>
      <c r="I10" s="7" t="s">
        <v>136</v>
      </c>
    </row>
    <row r="11" customFormat="false" ht="15" hidden="false" customHeight="false" outlineLevel="0" collapsed="false">
      <c r="A11" s="6" t="s">
        <v>58</v>
      </c>
      <c r="B11" s="7" t="s">
        <v>132</v>
      </c>
      <c r="C11" s="7" t="s">
        <v>133</v>
      </c>
      <c r="D11" s="7" t="s">
        <v>154</v>
      </c>
      <c r="E11" s="8" t="n">
        <v>18000</v>
      </c>
      <c r="F11" s="8" t="n">
        <v>8500</v>
      </c>
      <c r="G11" s="9" t="n">
        <v>0.528</v>
      </c>
      <c r="H11" s="6" t="s">
        <v>155</v>
      </c>
      <c r="I11" s="7" t="s">
        <v>136</v>
      </c>
    </row>
    <row r="12" customFormat="false" ht="15" hidden="false" customHeight="false" outlineLevel="0" collapsed="false">
      <c r="A12" s="6" t="s">
        <v>59</v>
      </c>
      <c r="B12" s="7" t="s">
        <v>132</v>
      </c>
      <c r="C12" s="7" t="s">
        <v>133</v>
      </c>
      <c r="D12" s="7" t="s">
        <v>156</v>
      </c>
      <c r="E12" s="8" t="n">
        <v>19500</v>
      </c>
      <c r="F12" s="8" t="n">
        <v>9800</v>
      </c>
      <c r="G12" s="9" t="n">
        <v>0.497</v>
      </c>
      <c r="H12" s="6" t="s">
        <v>157</v>
      </c>
      <c r="I12" s="7" t="s">
        <v>136</v>
      </c>
    </row>
    <row r="13" customFormat="false" ht="15" hidden="false" customHeight="false" outlineLevel="0" collapsed="false">
      <c r="A13" s="6" t="s">
        <v>60</v>
      </c>
      <c r="B13" s="7" t="s">
        <v>132</v>
      </c>
      <c r="C13" s="7" t="s">
        <v>133</v>
      </c>
      <c r="D13" s="7" t="s">
        <v>158</v>
      </c>
      <c r="E13" s="8" t="n">
        <v>20000</v>
      </c>
      <c r="F13" s="8" t="n">
        <v>10000</v>
      </c>
      <c r="G13" s="9" t="n">
        <v>0.5</v>
      </c>
      <c r="H13" s="6" t="s">
        <v>159</v>
      </c>
      <c r="I13" s="7" t="s">
        <v>136</v>
      </c>
    </row>
    <row r="14" customFormat="false" ht="15" hidden="false" customHeight="false" outlineLevel="0" collapsed="false">
      <c r="A14" s="6" t="s">
        <v>61</v>
      </c>
      <c r="B14" s="7" t="s">
        <v>132</v>
      </c>
      <c r="C14" s="7" t="s">
        <v>133</v>
      </c>
      <c r="D14" s="7" t="s">
        <v>160</v>
      </c>
      <c r="E14" s="8" t="n">
        <v>12000</v>
      </c>
      <c r="F14" s="8" t="n">
        <v>5800</v>
      </c>
      <c r="G14" s="9" t="n">
        <v>0.517</v>
      </c>
      <c r="H14" s="6" t="s">
        <v>161</v>
      </c>
      <c r="I14" s="7" t="s">
        <v>136</v>
      </c>
    </row>
    <row r="15" customFormat="false" ht="15" hidden="false" customHeight="false" outlineLevel="0" collapsed="false">
      <c r="A15" s="6" t="s">
        <v>62</v>
      </c>
      <c r="B15" s="7" t="s">
        <v>132</v>
      </c>
      <c r="C15" s="7" t="s">
        <v>133</v>
      </c>
      <c r="D15" s="7" t="s">
        <v>162</v>
      </c>
      <c r="E15" s="8" t="n">
        <v>22000</v>
      </c>
      <c r="F15" s="8" t="n">
        <v>10500</v>
      </c>
      <c r="G15" s="9" t="n">
        <v>0.523</v>
      </c>
      <c r="H15" s="6" t="s">
        <v>163</v>
      </c>
      <c r="I15" s="7" t="s">
        <v>136</v>
      </c>
    </row>
    <row r="16" customFormat="false" ht="15" hidden="false" customHeight="false" outlineLevel="0" collapsed="false">
      <c r="A16" s="6" t="s">
        <v>63</v>
      </c>
      <c r="B16" s="7" t="s">
        <v>132</v>
      </c>
      <c r="C16" s="7" t="s">
        <v>133</v>
      </c>
      <c r="D16" s="7" t="s">
        <v>164</v>
      </c>
      <c r="E16" s="8" t="n">
        <v>5200</v>
      </c>
      <c r="F16" s="8" t="n">
        <v>2600</v>
      </c>
      <c r="G16" s="9" t="n">
        <v>0.5</v>
      </c>
      <c r="H16" s="6" t="s">
        <v>165</v>
      </c>
      <c r="I16" s="7" t="s">
        <v>136</v>
      </c>
    </row>
    <row r="17" customFormat="false" ht="15" hidden="false" customHeight="false" outlineLevel="0" collapsed="false">
      <c r="A17" s="6" t="s">
        <v>64</v>
      </c>
      <c r="B17" s="7" t="s">
        <v>132</v>
      </c>
      <c r="C17" s="7" t="s">
        <v>133</v>
      </c>
      <c r="D17" s="7" t="s">
        <v>166</v>
      </c>
      <c r="E17" s="8" t="n">
        <v>5500</v>
      </c>
      <c r="F17" s="8" t="n">
        <v>2800</v>
      </c>
      <c r="G17" s="9" t="n">
        <v>0.491</v>
      </c>
      <c r="H17" s="6" t="s">
        <v>167</v>
      </c>
      <c r="I17" s="7" t="s">
        <v>136</v>
      </c>
    </row>
    <row r="18" customFormat="false" ht="15" hidden="false" customHeight="false" outlineLevel="0" collapsed="false">
      <c r="A18" s="6" t="s">
        <v>91</v>
      </c>
      <c r="B18" s="7" t="s">
        <v>132</v>
      </c>
      <c r="C18" s="7" t="s">
        <v>168</v>
      </c>
      <c r="D18" s="7" t="s">
        <v>169</v>
      </c>
      <c r="E18" s="8" t="n">
        <v>18000</v>
      </c>
      <c r="F18" s="8" t="n">
        <v>8500</v>
      </c>
      <c r="G18" s="9" t="n">
        <v>0.528</v>
      </c>
      <c r="H18" s="6" t="s">
        <v>170</v>
      </c>
      <c r="I18" s="7" t="s">
        <v>171</v>
      </c>
    </row>
    <row r="19" customFormat="false" ht="15" hidden="false" customHeight="false" outlineLevel="0" collapsed="false">
      <c r="A19" s="6" t="s">
        <v>92</v>
      </c>
      <c r="B19" s="7" t="s">
        <v>132</v>
      </c>
      <c r="C19" s="7" t="s">
        <v>168</v>
      </c>
      <c r="D19" s="7" t="s">
        <v>172</v>
      </c>
      <c r="E19" s="8" t="n">
        <v>17500</v>
      </c>
      <c r="F19" s="8" t="n">
        <v>8200</v>
      </c>
      <c r="G19" s="9" t="n">
        <v>0.531</v>
      </c>
      <c r="H19" s="6" t="s">
        <v>173</v>
      </c>
      <c r="I19" s="7" t="s">
        <v>136</v>
      </c>
    </row>
    <row r="20" customFormat="false" ht="15" hidden="false" customHeight="false" outlineLevel="0" collapsed="false">
      <c r="A20" s="6" t="s">
        <v>93</v>
      </c>
      <c r="B20" s="7" t="s">
        <v>132</v>
      </c>
      <c r="C20" s="7" t="s">
        <v>168</v>
      </c>
      <c r="D20" s="7" t="s">
        <v>174</v>
      </c>
      <c r="E20" s="8" t="n">
        <v>18500</v>
      </c>
      <c r="F20" s="8" t="n">
        <v>8800</v>
      </c>
      <c r="G20" s="9" t="n">
        <v>0.524</v>
      </c>
      <c r="H20" s="6" t="s">
        <v>175</v>
      </c>
      <c r="I20" s="7" t="s">
        <v>136</v>
      </c>
    </row>
    <row r="21" customFormat="false" ht="15" hidden="false" customHeight="false" outlineLevel="0" collapsed="false">
      <c r="A21" s="6" t="s">
        <v>94</v>
      </c>
      <c r="B21" s="7" t="s">
        <v>132</v>
      </c>
      <c r="C21" s="7" t="s">
        <v>168</v>
      </c>
      <c r="D21" s="7" t="s">
        <v>176</v>
      </c>
      <c r="E21" s="8" t="n">
        <v>18000</v>
      </c>
      <c r="F21" s="8" t="n">
        <v>8600</v>
      </c>
      <c r="G21" s="9" t="n">
        <v>0.522</v>
      </c>
      <c r="H21" s="6" t="s">
        <v>177</v>
      </c>
      <c r="I21" s="7" t="s">
        <v>136</v>
      </c>
    </row>
    <row r="22" customFormat="false" ht="15" hidden="false" customHeight="false" outlineLevel="0" collapsed="false">
      <c r="A22" s="6" t="s">
        <v>95</v>
      </c>
      <c r="B22" s="7" t="s">
        <v>132</v>
      </c>
      <c r="C22" s="7" t="s">
        <v>168</v>
      </c>
      <c r="D22" s="7" t="s">
        <v>178</v>
      </c>
      <c r="E22" s="8" t="n">
        <v>17000</v>
      </c>
      <c r="F22" s="8" t="n">
        <v>8000</v>
      </c>
      <c r="G22" s="9" t="n">
        <v>0.529</v>
      </c>
      <c r="H22" s="6" t="s">
        <v>179</v>
      </c>
      <c r="I22" s="7" t="s">
        <v>136</v>
      </c>
    </row>
    <row r="23" customFormat="false" ht="15" hidden="false" customHeight="false" outlineLevel="0" collapsed="false">
      <c r="A23" s="6" t="s">
        <v>96</v>
      </c>
      <c r="B23" s="7" t="s">
        <v>132</v>
      </c>
      <c r="C23" s="7" t="s">
        <v>168</v>
      </c>
      <c r="D23" s="7" t="s">
        <v>180</v>
      </c>
      <c r="E23" s="8" t="n">
        <v>19000</v>
      </c>
      <c r="F23" s="8" t="n">
        <v>9000</v>
      </c>
      <c r="G23" s="9" t="n">
        <v>0.526</v>
      </c>
      <c r="H23" s="6" t="s">
        <v>181</v>
      </c>
      <c r="I23" s="7" t="s">
        <v>171</v>
      </c>
    </row>
    <row r="24" customFormat="false" ht="15" hidden="false" customHeight="false" outlineLevel="0" collapsed="false">
      <c r="A24" s="6" t="s">
        <v>97</v>
      </c>
      <c r="B24" s="7" t="s">
        <v>132</v>
      </c>
      <c r="C24" s="7" t="s">
        <v>168</v>
      </c>
      <c r="D24" s="7" t="s">
        <v>182</v>
      </c>
      <c r="E24" s="8" t="n">
        <v>9800</v>
      </c>
      <c r="F24" s="8" t="n">
        <v>4600</v>
      </c>
      <c r="G24" s="9" t="n">
        <v>0.531</v>
      </c>
      <c r="H24" s="6" t="s">
        <v>183</v>
      </c>
      <c r="I24" s="7" t="s">
        <v>136</v>
      </c>
    </row>
    <row r="25" customFormat="false" ht="15" hidden="false" customHeight="false" outlineLevel="0" collapsed="false">
      <c r="A25" s="6" t="s">
        <v>98</v>
      </c>
      <c r="B25" s="7" t="s">
        <v>132</v>
      </c>
      <c r="C25" s="7" t="s">
        <v>168</v>
      </c>
      <c r="D25" s="7" t="s">
        <v>184</v>
      </c>
      <c r="E25" s="8" t="n">
        <v>9500</v>
      </c>
      <c r="F25" s="8" t="n">
        <v>4400</v>
      </c>
      <c r="G25" s="9" t="n">
        <v>0.537</v>
      </c>
      <c r="H25" s="6" t="s">
        <v>185</v>
      </c>
      <c r="I25" s="7" t="s">
        <v>136</v>
      </c>
    </row>
    <row r="26" customFormat="false" ht="15" hidden="false" customHeight="false" outlineLevel="0" collapsed="false">
      <c r="A26" s="6" t="s">
        <v>99</v>
      </c>
      <c r="B26" s="7" t="s">
        <v>132</v>
      </c>
      <c r="C26" s="7" t="s">
        <v>168</v>
      </c>
      <c r="D26" s="7" t="s">
        <v>186</v>
      </c>
      <c r="E26" s="8" t="n">
        <v>10000</v>
      </c>
      <c r="F26" s="8" t="n">
        <v>4800</v>
      </c>
      <c r="G26" s="9" t="n">
        <v>0.52</v>
      </c>
      <c r="H26" s="6" t="s">
        <v>187</v>
      </c>
      <c r="I26" s="7" t="s">
        <v>136</v>
      </c>
    </row>
    <row r="27" customFormat="false" ht="15" hidden="false" customHeight="false" outlineLevel="0" collapsed="false">
      <c r="A27" s="6" t="s">
        <v>100</v>
      </c>
      <c r="B27" s="7" t="s">
        <v>132</v>
      </c>
      <c r="C27" s="7" t="s">
        <v>168</v>
      </c>
      <c r="D27" s="7" t="s">
        <v>188</v>
      </c>
      <c r="E27" s="8" t="n">
        <v>9800</v>
      </c>
      <c r="F27" s="8" t="n">
        <v>4700</v>
      </c>
      <c r="G27" s="9" t="n">
        <v>0.52</v>
      </c>
      <c r="H27" s="6" t="s">
        <v>189</v>
      </c>
      <c r="I27" s="7" t="s">
        <v>136</v>
      </c>
    </row>
    <row r="28" customFormat="false" ht="15" hidden="false" customHeight="false" outlineLevel="0" collapsed="false">
      <c r="A28" s="6" t="s">
        <v>101</v>
      </c>
      <c r="B28" s="7" t="s">
        <v>132</v>
      </c>
      <c r="C28" s="7" t="s">
        <v>168</v>
      </c>
      <c r="D28" s="7" t="s">
        <v>190</v>
      </c>
      <c r="E28" s="8" t="n">
        <v>2000</v>
      </c>
      <c r="F28" s="8" t="n">
        <v>900</v>
      </c>
      <c r="G28" s="9" t="n">
        <v>0.55</v>
      </c>
      <c r="H28" s="6" t="s">
        <v>189</v>
      </c>
      <c r="I28" s="7" t="s">
        <v>136</v>
      </c>
    </row>
    <row r="29" customFormat="false" ht="15" hidden="false" customHeight="false" outlineLevel="0" collapsed="false">
      <c r="A29" s="6" t="s">
        <v>102</v>
      </c>
      <c r="B29" s="7" t="s">
        <v>132</v>
      </c>
      <c r="C29" s="7" t="s">
        <v>168</v>
      </c>
      <c r="D29" s="7" t="s">
        <v>191</v>
      </c>
      <c r="E29" s="8" t="n">
        <v>1900</v>
      </c>
      <c r="F29" s="8" t="n">
        <v>850</v>
      </c>
      <c r="G29" s="9" t="n">
        <v>0.553</v>
      </c>
      <c r="H29" s="6" t="s">
        <v>192</v>
      </c>
      <c r="I29" s="7" t="s">
        <v>136</v>
      </c>
    </row>
    <row r="30" customFormat="false" ht="15" hidden="false" customHeight="false" outlineLevel="0" collapsed="false">
      <c r="A30" s="6" t="s">
        <v>103</v>
      </c>
      <c r="B30" s="7" t="s">
        <v>132</v>
      </c>
      <c r="C30" s="7" t="s">
        <v>168</v>
      </c>
      <c r="D30" s="7" t="s">
        <v>193</v>
      </c>
      <c r="E30" s="8" t="n">
        <v>28000</v>
      </c>
      <c r="F30" s="8" t="n">
        <v>13000</v>
      </c>
      <c r="G30" s="9" t="n">
        <v>0.536</v>
      </c>
      <c r="H30" s="6" t="s">
        <v>194</v>
      </c>
      <c r="I30" s="7" t="s">
        <v>136</v>
      </c>
    </row>
    <row r="31" customFormat="false" ht="15" hidden="false" customHeight="false" outlineLevel="0" collapsed="false">
      <c r="A31" s="6" t="s">
        <v>104</v>
      </c>
      <c r="B31" s="7" t="s">
        <v>132</v>
      </c>
      <c r="C31" s="7" t="s">
        <v>168</v>
      </c>
      <c r="D31" s="7" t="s">
        <v>195</v>
      </c>
      <c r="E31" s="8" t="n">
        <v>39000</v>
      </c>
      <c r="F31" s="8" t="n">
        <v>18000</v>
      </c>
      <c r="G31" s="9" t="n">
        <v>0.538</v>
      </c>
      <c r="H31" s="6" t="s">
        <v>196</v>
      </c>
      <c r="I31" s="7" t="s">
        <v>136</v>
      </c>
    </row>
    <row r="32" customFormat="false" ht="15" hidden="false" customHeight="false" outlineLevel="0" collapsed="false">
      <c r="A32" s="6" t="s">
        <v>105</v>
      </c>
      <c r="B32" s="7" t="s">
        <v>132</v>
      </c>
      <c r="C32" s="7" t="s">
        <v>168</v>
      </c>
      <c r="D32" s="7" t="s">
        <v>197</v>
      </c>
      <c r="E32" s="8" t="n">
        <v>15000</v>
      </c>
      <c r="F32" s="8" t="n">
        <v>7000</v>
      </c>
      <c r="G32" s="9" t="n">
        <v>0.533</v>
      </c>
      <c r="H32" s="6" t="s">
        <v>198</v>
      </c>
      <c r="I32" s="7" t="s">
        <v>136</v>
      </c>
    </row>
    <row r="33" customFormat="false" ht="15" hidden="false" customHeight="false" outlineLevel="0" collapsed="false">
      <c r="A33" s="6" t="s">
        <v>106</v>
      </c>
      <c r="B33" s="7" t="s">
        <v>132</v>
      </c>
      <c r="C33" s="7" t="s">
        <v>168</v>
      </c>
      <c r="D33" s="7" t="s">
        <v>199</v>
      </c>
      <c r="E33" s="8" t="n">
        <v>14500</v>
      </c>
      <c r="F33" s="8" t="n">
        <v>6800</v>
      </c>
      <c r="G33" s="9" t="n">
        <v>0.531</v>
      </c>
      <c r="H33" s="6" t="s">
        <v>200</v>
      </c>
      <c r="I33" s="7" t="s">
        <v>136</v>
      </c>
    </row>
    <row r="34" customFormat="false" ht="15" hidden="false" customHeight="false" outlineLevel="0" collapsed="false">
      <c r="A34" s="6" t="s">
        <v>107</v>
      </c>
      <c r="B34" s="7" t="s">
        <v>132</v>
      </c>
      <c r="C34" s="7" t="s">
        <v>201</v>
      </c>
      <c r="D34" s="7" t="s">
        <v>202</v>
      </c>
      <c r="E34" s="8" t="n">
        <v>22000</v>
      </c>
      <c r="F34" s="8" t="n">
        <v>9500</v>
      </c>
      <c r="G34" s="9" t="n">
        <v>0.568</v>
      </c>
      <c r="H34" s="6" t="s">
        <v>203</v>
      </c>
      <c r="I34" s="7" t="s">
        <v>171</v>
      </c>
    </row>
    <row r="35" customFormat="false" ht="15" hidden="false" customHeight="false" outlineLevel="0" collapsed="false">
      <c r="A35" s="6" t="s">
        <v>108</v>
      </c>
      <c r="B35" s="7" t="s">
        <v>132</v>
      </c>
      <c r="C35" s="7" t="s">
        <v>201</v>
      </c>
      <c r="D35" s="7" t="s">
        <v>204</v>
      </c>
      <c r="E35" s="8" t="n">
        <v>22000</v>
      </c>
      <c r="F35" s="8" t="n">
        <v>9500</v>
      </c>
      <c r="G35" s="9" t="n">
        <v>0.568</v>
      </c>
      <c r="H35" s="6" t="s">
        <v>167</v>
      </c>
      <c r="I35" s="7" t="s">
        <v>136</v>
      </c>
    </row>
    <row r="36" customFormat="false" ht="15" hidden="false" customHeight="false" outlineLevel="0" collapsed="false">
      <c r="A36" s="6" t="s">
        <v>109</v>
      </c>
      <c r="B36" s="7" t="s">
        <v>132</v>
      </c>
      <c r="C36" s="7" t="s">
        <v>201</v>
      </c>
      <c r="D36" s="7" t="s">
        <v>205</v>
      </c>
      <c r="E36" s="8" t="n">
        <v>25000</v>
      </c>
      <c r="F36" s="8" t="n">
        <v>11000</v>
      </c>
      <c r="G36" s="9" t="n">
        <v>0.56</v>
      </c>
      <c r="H36" s="6" t="s">
        <v>206</v>
      </c>
      <c r="I36" s="7" t="s">
        <v>136</v>
      </c>
    </row>
    <row r="37" customFormat="false" ht="15" hidden="false" customHeight="false" outlineLevel="0" collapsed="false">
      <c r="A37" s="6" t="s">
        <v>110</v>
      </c>
      <c r="B37" s="7" t="s">
        <v>132</v>
      </c>
      <c r="C37" s="7" t="s">
        <v>201</v>
      </c>
      <c r="D37" s="7" t="s">
        <v>207</v>
      </c>
      <c r="E37" s="8" t="n">
        <v>21000</v>
      </c>
      <c r="F37" s="8" t="n">
        <v>9000</v>
      </c>
      <c r="G37" s="9" t="n">
        <v>0.571</v>
      </c>
      <c r="H37" s="6" t="s">
        <v>208</v>
      </c>
      <c r="I37" s="7" t="s">
        <v>136</v>
      </c>
    </row>
    <row r="38" customFormat="false" ht="15" hidden="false" customHeight="false" outlineLevel="0" collapsed="false">
      <c r="A38" s="6" t="s">
        <v>111</v>
      </c>
      <c r="B38" s="7" t="s">
        <v>132</v>
      </c>
      <c r="C38" s="7" t="s">
        <v>201</v>
      </c>
      <c r="D38" s="7" t="s">
        <v>209</v>
      </c>
      <c r="E38" s="8" t="n">
        <v>20000</v>
      </c>
      <c r="F38" s="8" t="n">
        <v>8800</v>
      </c>
      <c r="G38" s="9" t="n">
        <v>0.56</v>
      </c>
      <c r="H38" s="6" t="s">
        <v>210</v>
      </c>
      <c r="I38" s="7" t="s">
        <v>139</v>
      </c>
    </row>
    <row r="39" customFormat="false" ht="15" hidden="false" customHeight="false" outlineLevel="0" collapsed="false">
      <c r="A39" s="6" t="s">
        <v>112</v>
      </c>
      <c r="B39" s="7" t="s">
        <v>132</v>
      </c>
      <c r="C39" s="7" t="s">
        <v>201</v>
      </c>
      <c r="D39" s="7" t="s">
        <v>211</v>
      </c>
      <c r="E39" s="8" t="n">
        <v>26000</v>
      </c>
      <c r="F39" s="8" t="n">
        <v>11500</v>
      </c>
      <c r="G39" s="9" t="n">
        <v>0.558</v>
      </c>
      <c r="H39" s="6" t="s">
        <v>203</v>
      </c>
      <c r="I39" s="7" t="s">
        <v>171</v>
      </c>
    </row>
    <row r="40" customFormat="false" ht="15" hidden="false" customHeight="false" outlineLevel="0" collapsed="false">
      <c r="A40" s="6" t="s">
        <v>113</v>
      </c>
      <c r="B40" s="7" t="s">
        <v>132</v>
      </c>
      <c r="C40" s="7" t="s">
        <v>201</v>
      </c>
      <c r="D40" s="7" t="s">
        <v>212</v>
      </c>
      <c r="E40" s="8" t="n">
        <v>38000</v>
      </c>
      <c r="F40" s="8" t="n">
        <v>16000</v>
      </c>
      <c r="G40" s="9" t="n">
        <v>0.579</v>
      </c>
      <c r="H40" s="6" t="s">
        <v>213</v>
      </c>
      <c r="I40" s="7" t="s">
        <v>136</v>
      </c>
    </row>
    <row r="41" customFormat="false" ht="15" hidden="false" customHeight="false" outlineLevel="0" collapsed="false">
      <c r="A41" s="6" t="s">
        <v>114</v>
      </c>
      <c r="B41" s="7" t="s">
        <v>132</v>
      </c>
      <c r="C41" s="7" t="s">
        <v>201</v>
      </c>
      <c r="D41" s="7" t="s">
        <v>214</v>
      </c>
      <c r="E41" s="8" t="n">
        <v>38000</v>
      </c>
      <c r="F41" s="8" t="n">
        <v>16000</v>
      </c>
      <c r="G41" s="9" t="n">
        <v>0.579</v>
      </c>
      <c r="H41" s="6" t="s">
        <v>215</v>
      </c>
      <c r="I41" s="7" t="s">
        <v>171</v>
      </c>
    </row>
    <row r="42" customFormat="false" ht="15" hidden="false" customHeight="false" outlineLevel="0" collapsed="false">
      <c r="A42" s="6" t="s">
        <v>115</v>
      </c>
      <c r="B42" s="7" t="s">
        <v>132</v>
      </c>
      <c r="C42" s="7" t="s">
        <v>201</v>
      </c>
      <c r="D42" s="7" t="s">
        <v>216</v>
      </c>
      <c r="E42" s="8" t="n">
        <v>43000</v>
      </c>
      <c r="F42" s="8" t="n">
        <v>18500</v>
      </c>
      <c r="G42" s="9" t="n">
        <v>0.57</v>
      </c>
      <c r="H42" s="6" t="s">
        <v>217</v>
      </c>
      <c r="I42" s="7" t="s">
        <v>136</v>
      </c>
    </row>
    <row r="43" customFormat="false" ht="15" hidden="false" customHeight="false" outlineLevel="0" collapsed="false">
      <c r="A43" s="6" t="s">
        <v>116</v>
      </c>
      <c r="B43" s="7" t="s">
        <v>132</v>
      </c>
      <c r="C43" s="7" t="s">
        <v>201</v>
      </c>
      <c r="D43" s="7" t="s">
        <v>218</v>
      </c>
      <c r="E43" s="8" t="n">
        <v>15000</v>
      </c>
      <c r="F43" s="8" t="n">
        <v>6500</v>
      </c>
      <c r="G43" s="9" t="n">
        <v>0.567</v>
      </c>
      <c r="H43" s="6" t="s">
        <v>219</v>
      </c>
      <c r="I43" s="7" t="s">
        <v>136</v>
      </c>
    </row>
    <row r="44" customFormat="false" ht="15" hidden="false" customHeight="false" outlineLevel="0" collapsed="false">
      <c r="A44" s="6" t="s">
        <v>117</v>
      </c>
      <c r="B44" s="7" t="s">
        <v>132</v>
      </c>
      <c r="C44" s="7" t="s">
        <v>201</v>
      </c>
      <c r="D44" s="7" t="s">
        <v>220</v>
      </c>
      <c r="E44" s="8" t="n">
        <v>15000</v>
      </c>
      <c r="F44" s="8" t="n">
        <v>6500</v>
      </c>
      <c r="G44" s="9" t="n">
        <v>0.567</v>
      </c>
      <c r="H44" s="6" t="s">
        <v>221</v>
      </c>
      <c r="I44" s="7" t="s">
        <v>136</v>
      </c>
    </row>
    <row r="45" customFormat="false" ht="15" hidden="false" customHeight="false" outlineLevel="0" collapsed="false">
      <c r="A45" s="6" t="s">
        <v>118</v>
      </c>
      <c r="B45" s="7" t="s">
        <v>132</v>
      </c>
      <c r="C45" s="7" t="s">
        <v>201</v>
      </c>
      <c r="D45" s="7" t="s">
        <v>222</v>
      </c>
      <c r="E45" s="8" t="n">
        <v>17000</v>
      </c>
      <c r="F45" s="8" t="n">
        <v>7500</v>
      </c>
      <c r="G45" s="9" t="n">
        <v>0.559</v>
      </c>
      <c r="H45" s="6" t="s">
        <v>223</v>
      </c>
      <c r="I45" s="7" t="s">
        <v>136</v>
      </c>
    </row>
    <row r="46" customFormat="false" ht="15" hidden="false" customHeight="false" outlineLevel="0" collapsed="false">
      <c r="A46" s="6" t="s">
        <v>119</v>
      </c>
      <c r="B46" s="7" t="s">
        <v>132</v>
      </c>
      <c r="C46" s="7" t="s">
        <v>201</v>
      </c>
      <c r="D46" s="7" t="s">
        <v>224</v>
      </c>
      <c r="E46" s="8" t="n">
        <v>39000</v>
      </c>
      <c r="F46" s="8" t="n">
        <v>17000</v>
      </c>
      <c r="G46" s="9" t="n">
        <v>0.564</v>
      </c>
      <c r="H46" s="6" t="s">
        <v>225</v>
      </c>
      <c r="I46" s="7" t="s">
        <v>171</v>
      </c>
    </row>
    <row r="47" customFormat="false" ht="15" hidden="false" customHeight="false" outlineLevel="0" collapsed="false">
      <c r="A47" s="6" t="s">
        <v>120</v>
      </c>
      <c r="B47" s="7" t="s">
        <v>132</v>
      </c>
      <c r="C47" s="7" t="s">
        <v>201</v>
      </c>
      <c r="D47" s="7" t="s">
        <v>226</v>
      </c>
      <c r="E47" s="8" t="n">
        <v>39000</v>
      </c>
      <c r="F47" s="8" t="n">
        <v>17000</v>
      </c>
      <c r="G47" s="9" t="n">
        <v>0.564</v>
      </c>
      <c r="H47" s="6" t="s">
        <v>227</v>
      </c>
      <c r="I47" s="7" t="s">
        <v>136</v>
      </c>
    </row>
    <row r="48" customFormat="false" ht="15" hidden="false" customHeight="false" outlineLevel="0" collapsed="false">
      <c r="A48" s="6" t="s">
        <v>65</v>
      </c>
      <c r="B48" s="7" t="s">
        <v>132</v>
      </c>
      <c r="C48" s="7" t="s">
        <v>228</v>
      </c>
      <c r="D48" s="7" t="s">
        <v>229</v>
      </c>
      <c r="E48" s="8" t="n">
        <v>12000</v>
      </c>
      <c r="F48" s="8" t="n">
        <v>5500</v>
      </c>
      <c r="G48" s="9" t="n">
        <v>0.542</v>
      </c>
      <c r="H48" s="6" t="s">
        <v>230</v>
      </c>
      <c r="I48" s="7" t="s">
        <v>171</v>
      </c>
    </row>
    <row r="49" customFormat="false" ht="15" hidden="false" customHeight="false" outlineLevel="0" collapsed="false">
      <c r="A49" s="6" t="s">
        <v>66</v>
      </c>
      <c r="B49" s="7" t="s">
        <v>132</v>
      </c>
      <c r="C49" s="7" t="s">
        <v>228</v>
      </c>
      <c r="D49" s="7" t="s">
        <v>231</v>
      </c>
      <c r="E49" s="8" t="n">
        <v>11000</v>
      </c>
      <c r="F49" s="8" t="n">
        <v>5000</v>
      </c>
      <c r="G49" s="9" t="n">
        <v>0.545</v>
      </c>
      <c r="H49" s="6" t="s">
        <v>232</v>
      </c>
      <c r="I49" s="7" t="s">
        <v>136</v>
      </c>
    </row>
    <row r="50" customFormat="false" ht="15" hidden="false" customHeight="false" outlineLevel="0" collapsed="false">
      <c r="A50" s="6" t="s">
        <v>67</v>
      </c>
      <c r="B50" s="7" t="s">
        <v>132</v>
      </c>
      <c r="C50" s="7" t="s">
        <v>228</v>
      </c>
      <c r="D50" s="7" t="s">
        <v>233</v>
      </c>
      <c r="E50" s="8" t="n">
        <v>10000</v>
      </c>
      <c r="F50" s="8" t="n">
        <v>4500</v>
      </c>
      <c r="G50" s="9" t="n">
        <v>0.55</v>
      </c>
      <c r="H50" s="6" t="s">
        <v>234</v>
      </c>
      <c r="I50" s="7" t="s">
        <v>171</v>
      </c>
    </row>
    <row r="51" customFormat="false" ht="15" hidden="false" customHeight="false" outlineLevel="0" collapsed="false">
      <c r="A51" s="6" t="s">
        <v>68</v>
      </c>
      <c r="B51" s="7" t="s">
        <v>132</v>
      </c>
      <c r="C51" s="7" t="s">
        <v>228</v>
      </c>
      <c r="D51" s="7" t="s">
        <v>235</v>
      </c>
      <c r="E51" s="8" t="n">
        <v>11500</v>
      </c>
      <c r="F51" s="8" t="n">
        <v>5200</v>
      </c>
      <c r="G51" s="9" t="n">
        <v>0.548</v>
      </c>
      <c r="H51" s="6" t="s">
        <v>236</v>
      </c>
      <c r="I51" s="7" t="s">
        <v>136</v>
      </c>
    </row>
    <row r="52" customFormat="false" ht="15" hidden="false" customHeight="false" outlineLevel="0" collapsed="false">
      <c r="A52" s="6" t="s">
        <v>69</v>
      </c>
      <c r="B52" s="7" t="s">
        <v>132</v>
      </c>
      <c r="C52" s="7" t="s">
        <v>228</v>
      </c>
      <c r="D52" s="7" t="s">
        <v>237</v>
      </c>
      <c r="E52" s="8" t="n">
        <v>14500</v>
      </c>
      <c r="F52" s="8" t="n">
        <v>6800</v>
      </c>
      <c r="G52" s="9" t="n">
        <v>0.531</v>
      </c>
      <c r="H52" s="6" t="s">
        <v>238</v>
      </c>
      <c r="I52" s="7" t="s">
        <v>139</v>
      </c>
    </row>
    <row r="53" customFormat="false" ht="15" hidden="false" customHeight="false" outlineLevel="0" collapsed="false">
      <c r="A53" s="6" t="s">
        <v>70</v>
      </c>
      <c r="B53" s="7" t="s">
        <v>132</v>
      </c>
      <c r="C53" s="7" t="s">
        <v>228</v>
      </c>
      <c r="D53" s="7" t="s">
        <v>239</v>
      </c>
      <c r="E53" s="8" t="n">
        <v>15000</v>
      </c>
      <c r="F53" s="8" t="n">
        <v>7200</v>
      </c>
      <c r="G53" s="9" t="n">
        <v>0.52</v>
      </c>
      <c r="H53" s="6" t="s">
        <v>196</v>
      </c>
      <c r="I53" s="7" t="s">
        <v>136</v>
      </c>
    </row>
    <row r="54" customFormat="false" ht="15" hidden="false" customHeight="false" outlineLevel="0" collapsed="false">
      <c r="A54" s="6" t="s">
        <v>71</v>
      </c>
      <c r="B54" s="7" t="s">
        <v>132</v>
      </c>
      <c r="C54" s="7" t="s">
        <v>228</v>
      </c>
      <c r="D54" s="7" t="s">
        <v>240</v>
      </c>
      <c r="E54" s="8" t="n">
        <v>11000</v>
      </c>
      <c r="F54" s="8" t="n">
        <v>5000</v>
      </c>
      <c r="G54" s="9" t="n">
        <v>0.545</v>
      </c>
      <c r="H54" s="6" t="s">
        <v>241</v>
      </c>
      <c r="I54" s="7" t="s">
        <v>136</v>
      </c>
    </row>
    <row r="55" customFormat="false" ht="15" hidden="false" customHeight="false" outlineLevel="0" collapsed="false">
      <c r="A55" s="6" t="s">
        <v>72</v>
      </c>
      <c r="B55" s="7" t="s">
        <v>132</v>
      </c>
      <c r="C55" s="7" t="s">
        <v>228</v>
      </c>
      <c r="D55" s="7" t="s">
        <v>242</v>
      </c>
      <c r="E55" s="8" t="n">
        <v>16000</v>
      </c>
      <c r="F55" s="8" t="n">
        <v>7500</v>
      </c>
      <c r="G55" s="9" t="n">
        <v>0.531</v>
      </c>
      <c r="H55" s="6" t="s">
        <v>243</v>
      </c>
      <c r="I55" s="7" t="s">
        <v>136</v>
      </c>
    </row>
    <row r="56" customFormat="false" ht="15" hidden="false" customHeight="false" outlineLevel="0" collapsed="false">
      <c r="A56" s="6" t="s">
        <v>73</v>
      </c>
      <c r="B56" s="7" t="s">
        <v>132</v>
      </c>
      <c r="C56" s="7" t="s">
        <v>228</v>
      </c>
      <c r="D56" s="7" t="s">
        <v>244</v>
      </c>
      <c r="E56" s="8" t="n">
        <v>20000</v>
      </c>
      <c r="F56" s="8" t="n">
        <v>9000</v>
      </c>
      <c r="G56" s="9" t="n">
        <v>0.55</v>
      </c>
      <c r="H56" s="6" t="s">
        <v>245</v>
      </c>
      <c r="I56" s="7" t="s">
        <v>136</v>
      </c>
    </row>
    <row r="57" customFormat="false" ht="15" hidden="false" customHeight="false" outlineLevel="0" collapsed="false">
      <c r="A57" s="6" t="s">
        <v>74</v>
      </c>
      <c r="B57" s="7" t="s">
        <v>132</v>
      </c>
      <c r="C57" s="7" t="s">
        <v>228</v>
      </c>
      <c r="D57" s="7" t="s">
        <v>246</v>
      </c>
      <c r="E57" s="8" t="n">
        <v>18000</v>
      </c>
      <c r="F57" s="8" t="n">
        <v>8200</v>
      </c>
      <c r="G57" s="9" t="n">
        <v>0.544</v>
      </c>
      <c r="H57" s="6" t="s">
        <v>247</v>
      </c>
      <c r="I57" s="7" t="s">
        <v>136</v>
      </c>
    </row>
    <row r="58" customFormat="false" ht="15" hidden="false" customHeight="false" outlineLevel="0" collapsed="false">
      <c r="A58" s="6" t="s">
        <v>75</v>
      </c>
      <c r="B58" s="7" t="s">
        <v>132</v>
      </c>
      <c r="C58" s="7" t="s">
        <v>228</v>
      </c>
      <c r="D58" s="7" t="s">
        <v>248</v>
      </c>
      <c r="E58" s="8" t="n">
        <v>16000</v>
      </c>
      <c r="F58" s="8" t="n">
        <v>7200</v>
      </c>
      <c r="G58" s="9" t="n">
        <v>0.55</v>
      </c>
      <c r="H58" s="6" t="s">
        <v>170</v>
      </c>
      <c r="I58" s="7" t="s">
        <v>136</v>
      </c>
    </row>
    <row r="59" customFormat="false" ht="15" hidden="false" customHeight="false" outlineLevel="0" collapsed="false">
      <c r="A59" s="6" t="s">
        <v>76</v>
      </c>
      <c r="B59" s="7" t="s">
        <v>132</v>
      </c>
      <c r="C59" s="7" t="s">
        <v>228</v>
      </c>
      <c r="D59" s="7" t="s">
        <v>249</v>
      </c>
      <c r="E59" s="8" t="n">
        <v>25000</v>
      </c>
      <c r="F59" s="8" t="n">
        <v>11500</v>
      </c>
      <c r="G59" s="9" t="n">
        <v>0.54</v>
      </c>
      <c r="H59" s="6" t="s">
        <v>250</v>
      </c>
      <c r="I59" s="7" t="s">
        <v>171</v>
      </c>
    </row>
    <row r="60" customFormat="false" ht="15" hidden="false" customHeight="false" outlineLevel="0" collapsed="false">
      <c r="A60" s="6" t="s">
        <v>13</v>
      </c>
      <c r="B60" s="7" t="s">
        <v>132</v>
      </c>
      <c r="C60" s="7" t="s">
        <v>251</v>
      </c>
      <c r="D60" s="7" t="s">
        <v>252</v>
      </c>
      <c r="E60" s="8" t="n">
        <v>15000</v>
      </c>
      <c r="F60" s="8" t="n">
        <v>6500</v>
      </c>
      <c r="G60" s="9" t="n">
        <v>0.567</v>
      </c>
      <c r="H60" s="6" t="s">
        <v>253</v>
      </c>
      <c r="I60" s="7" t="s">
        <v>136</v>
      </c>
    </row>
    <row r="61" customFormat="false" ht="15" hidden="false" customHeight="false" outlineLevel="0" collapsed="false">
      <c r="A61" s="6" t="s">
        <v>14</v>
      </c>
      <c r="B61" s="7" t="s">
        <v>132</v>
      </c>
      <c r="C61" s="7" t="s">
        <v>251</v>
      </c>
      <c r="D61" s="7" t="s">
        <v>254</v>
      </c>
      <c r="E61" s="8" t="n">
        <v>16000</v>
      </c>
      <c r="F61" s="8" t="n">
        <v>7000</v>
      </c>
      <c r="G61" s="9" t="n">
        <v>0.562</v>
      </c>
      <c r="H61" s="6" t="s">
        <v>255</v>
      </c>
      <c r="I61" s="7" t="s">
        <v>136</v>
      </c>
    </row>
    <row r="62" customFormat="false" ht="15" hidden="false" customHeight="false" outlineLevel="0" collapsed="false">
      <c r="A62" s="6" t="s">
        <v>15</v>
      </c>
      <c r="B62" s="7" t="s">
        <v>132</v>
      </c>
      <c r="C62" s="7" t="s">
        <v>251</v>
      </c>
      <c r="D62" s="7" t="s">
        <v>256</v>
      </c>
      <c r="E62" s="8" t="n">
        <v>18000</v>
      </c>
      <c r="F62" s="8" t="n">
        <v>7800</v>
      </c>
      <c r="G62" s="9" t="n">
        <v>0.567</v>
      </c>
      <c r="H62" s="6" t="s">
        <v>257</v>
      </c>
      <c r="I62" s="7" t="s">
        <v>136</v>
      </c>
    </row>
    <row r="63" customFormat="false" ht="15" hidden="false" customHeight="false" outlineLevel="0" collapsed="false">
      <c r="A63" s="6" t="s">
        <v>16</v>
      </c>
      <c r="B63" s="7" t="s">
        <v>132</v>
      </c>
      <c r="C63" s="7" t="s">
        <v>251</v>
      </c>
      <c r="D63" s="7" t="s">
        <v>258</v>
      </c>
      <c r="E63" s="8" t="n">
        <v>18000</v>
      </c>
      <c r="F63" s="8" t="n">
        <v>7800</v>
      </c>
      <c r="G63" s="9" t="n">
        <v>0.567</v>
      </c>
      <c r="H63" s="6" t="s">
        <v>259</v>
      </c>
      <c r="I63" s="7" t="s">
        <v>136</v>
      </c>
    </row>
    <row r="64" customFormat="false" ht="15" hidden="false" customHeight="false" outlineLevel="0" collapsed="false">
      <c r="A64" s="6" t="s">
        <v>17</v>
      </c>
      <c r="B64" s="7" t="s">
        <v>132</v>
      </c>
      <c r="C64" s="7" t="s">
        <v>251</v>
      </c>
      <c r="D64" s="7" t="s">
        <v>260</v>
      </c>
      <c r="E64" s="8" t="n">
        <v>27000</v>
      </c>
      <c r="F64" s="8" t="n">
        <v>11500</v>
      </c>
      <c r="G64" s="9" t="n">
        <v>0.574</v>
      </c>
      <c r="H64" s="6" t="s">
        <v>261</v>
      </c>
      <c r="I64" s="7" t="s">
        <v>136</v>
      </c>
    </row>
    <row r="65" customFormat="false" ht="15" hidden="false" customHeight="false" outlineLevel="0" collapsed="false">
      <c r="A65" s="6" t="s">
        <v>18</v>
      </c>
      <c r="B65" s="7" t="s">
        <v>132</v>
      </c>
      <c r="C65" s="7" t="s">
        <v>251</v>
      </c>
      <c r="D65" s="7" t="s">
        <v>262</v>
      </c>
      <c r="E65" s="8" t="n">
        <v>29000</v>
      </c>
      <c r="F65" s="8" t="n">
        <v>12500</v>
      </c>
      <c r="G65" s="9" t="n">
        <v>0.569</v>
      </c>
      <c r="H65" s="6" t="s">
        <v>263</v>
      </c>
      <c r="I65" s="7" t="s">
        <v>171</v>
      </c>
    </row>
    <row r="66" customFormat="false" ht="15" hidden="false" customHeight="false" outlineLevel="0" collapsed="false">
      <c r="A66" s="6" t="s">
        <v>19</v>
      </c>
      <c r="B66" s="7" t="s">
        <v>132</v>
      </c>
      <c r="C66" s="7" t="s">
        <v>251</v>
      </c>
      <c r="D66" s="7" t="s">
        <v>264</v>
      </c>
      <c r="E66" s="8" t="n">
        <v>32000</v>
      </c>
      <c r="F66" s="8" t="n">
        <v>13500</v>
      </c>
      <c r="G66" s="9" t="n">
        <v>0.578</v>
      </c>
      <c r="H66" s="6" t="s">
        <v>265</v>
      </c>
      <c r="I66" s="7" t="s">
        <v>171</v>
      </c>
    </row>
    <row r="67" customFormat="false" ht="15" hidden="false" customHeight="false" outlineLevel="0" collapsed="false">
      <c r="A67" s="6" t="s">
        <v>20</v>
      </c>
      <c r="B67" s="7" t="s">
        <v>132</v>
      </c>
      <c r="C67" s="7" t="s">
        <v>251</v>
      </c>
      <c r="D67" s="7" t="s">
        <v>266</v>
      </c>
      <c r="E67" s="8" t="n">
        <v>32000</v>
      </c>
      <c r="F67" s="8" t="n">
        <v>13500</v>
      </c>
      <c r="G67" s="9" t="n">
        <v>0.578</v>
      </c>
      <c r="H67" s="6" t="s">
        <v>267</v>
      </c>
      <c r="I67" s="7" t="s">
        <v>136</v>
      </c>
    </row>
    <row r="68" customFormat="false" ht="15" hidden="false" customHeight="false" outlineLevel="0" collapsed="false">
      <c r="A68" s="6" t="s">
        <v>21</v>
      </c>
      <c r="B68" s="7" t="s">
        <v>132</v>
      </c>
      <c r="C68" s="7" t="s">
        <v>251</v>
      </c>
      <c r="D68" s="7" t="s">
        <v>268</v>
      </c>
      <c r="E68" s="8" t="n">
        <v>12000</v>
      </c>
      <c r="F68" s="8" t="n">
        <v>5200</v>
      </c>
      <c r="G68" s="9" t="n">
        <v>0.567</v>
      </c>
      <c r="H68" s="6" t="s">
        <v>269</v>
      </c>
      <c r="I68" s="7" t="s">
        <v>136</v>
      </c>
    </row>
    <row r="69" customFormat="false" ht="15" hidden="false" customHeight="false" outlineLevel="0" collapsed="false">
      <c r="A69" s="6" t="s">
        <v>22</v>
      </c>
      <c r="B69" s="7" t="s">
        <v>132</v>
      </c>
      <c r="C69" s="7" t="s">
        <v>251</v>
      </c>
      <c r="D69" s="7" t="s">
        <v>270</v>
      </c>
      <c r="E69" s="8" t="n">
        <v>22000</v>
      </c>
      <c r="F69" s="8" t="n">
        <v>9500</v>
      </c>
      <c r="G69" s="9" t="n">
        <v>0.568</v>
      </c>
      <c r="H69" s="6" t="s">
        <v>271</v>
      </c>
      <c r="I69" s="7" t="s">
        <v>136</v>
      </c>
    </row>
    <row r="70" customFormat="false" ht="15" hidden="false" customHeight="false" outlineLevel="0" collapsed="false">
      <c r="A70" s="6" t="s">
        <v>23</v>
      </c>
      <c r="B70" s="7" t="s">
        <v>132</v>
      </c>
      <c r="C70" s="7" t="s">
        <v>251</v>
      </c>
      <c r="D70" s="7" t="s">
        <v>272</v>
      </c>
      <c r="E70" s="8" t="n">
        <v>14000</v>
      </c>
      <c r="F70" s="8" t="n">
        <v>6000</v>
      </c>
      <c r="G70" s="9" t="n">
        <v>0.571</v>
      </c>
      <c r="H70" s="6" t="s">
        <v>219</v>
      </c>
      <c r="I70" s="7" t="s">
        <v>136</v>
      </c>
    </row>
    <row r="71" customFormat="false" ht="15" hidden="false" customHeight="false" outlineLevel="0" collapsed="false">
      <c r="A71" s="6" t="s">
        <v>24</v>
      </c>
      <c r="B71" s="7" t="s">
        <v>132</v>
      </c>
      <c r="C71" s="7" t="s">
        <v>251</v>
      </c>
      <c r="D71" s="7" t="s">
        <v>273</v>
      </c>
      <c r="E71" s="8" t="n">
        <v>25000</v>
      </c>
      <c r="F71" s="8" t="n">
        <v>10800</v>
      </c>
      <c r="G71" s="9" t="n">
        <v>0.568</v>
      </c>
      <c r="H71" s="6" t="s">
        <v>274</v>
      </c>
      <c r="I71" s="7" t="s">
        <v>136</v>
      </c>
    </row>
    <row r="72" customFormat="false" ht="15" hidden="false" customHeight="false" outlineLevel="0" collapsed="false">
      <c r="A72" s="6" t="s">
        <v>77</v>
      </c>
      <c r="B72" s="7" t="s">
        <v>132</v>
      </c>
      <c r="C72" s="7" t="s">
        <v>275</v>
      </c>
      <c r="D72" s="7" t="s">
        <v>276</v>
      </c>
      <c r="E72" s="8" t="n">
        <v>18000</v>
      </c>
      <c r="F72" s="8" t="n">
        <v>8200</v>
      </c>
      <c r="G72" s="9" t="n">
        <v>0.544</v>
      </c>
      <c r="H72" s="6" t="s">
        <v>277</v>
      </c>
      <c r="I72" s="7" t="s">
        <v>136</v>
      </c>
    </row>
    <row r="73" customFormat="false" ht="15" hidden="false" customHeight="false" outlineLevel="0" collapsed="false">
      <c r="A73" s="6" t="s">
        <v>78</v>
      </c>
      <c r="B73" s="7" t="s">
        <v>132</v>
      </c>
      <c r="C73" s="7" t="s">
        <v>275</v>
      </c>
      <c r="D73" s="7" t="s">
        <v>278</v>
      </c>
      <c r="E73" s="8" t="n">
        <v>15000</v>
      </c>
      <c r="F73" s="8" t="n">
        <v>6800</v>
      </c>
      <c r="G73" s="9" t="n">
        <v>0.547</v>
      </c>
      <c r="H73" s="6" t="s">
        <v>279</v>
      </c>
      <c r="I73" s="7" t="s">
        <v>171</v>
      </c>
    </row>
    <row r="74" customFormat="false" ht="15" hidden="false" customHeight="false" outlineLevel="0" collapsed="false">
      <c r="A74" s="6" t="s">
        <v>79</v>
      </c>
      <c r="B74" s="7" t="s">
        <v>132</v>
      </c>
      <c r="C74" s="7" t="s">
        <v>275</v>
      </c>
      <c r="D74" s="7" t="s">
        <v>280</v>
      </c>
      <c r="E74" s="8" t="n">
        <v>19000</v>
      </c>
      <c r="F74" s="8" t="n">
        <v>8800</v>
      </c>
      <c r="G74" s="9" t="n">
        <v>0.537</v>
      </c>
      <c r="H74" s="6" t="s">
        <v>281</v>
      </c>
      <c r="I74" s="7" t="s">
        <v>136</v>
      </c>
    </row>
    <row r="75" customFormat="false" ht="15" hidden="false" customHeight="false" outlineLevel="0" collapsed="false">
      <c r="A75" s="6" t="s">
        <v>80</v>
      </c>
      <c r="B75" s="7" t="s">
        <v>132</v>
      </c>
      <c r="C75" s="7" t="s">
        <v>275</v>
      </c>
      <c r="D75" s="7" t="s">
        <v>282</v>
      </c>
      <c r="E75" s="8" t="n">
        <v>17000</v>
      </c>
      <c r="F75" s="8" t="n">
        <v>7800</v>
      </c>
      <c r="G75" s="9" t="n">
        <v>0.541</v>
      </c>
      <c r="H75" s="6" t="s">
        <v>283</v>
      </c>
      <c r="I75" s="7" t="s">
        <v>171</v>
      </c>
    </row>
    <row r="76" customFormat="false" ht="15" hidden="false" customHeight="false" outlineLevel="0" collapsed="false">
      <c r="A76" s="6" t="s">
        <v>81</v>
      </c>
      <c r="B76" s="7" t="s">
        <v>132</v>
      </c>
      <c r="C76" s="7" t="s">
        <v>275</v>
      </c>
      <c r="D76" s="7" t="s">
        <v>284</v>
      </c>
      <c r="E76" s="8" t="n">
        <v>16000</v>
      </c>
      <c r="F76" s="8" t="n">
        <v>7200</v>
      </c>
      <c r="G76" s="9" t="n">
        <v>0.55</v>
      </c>
      <c r="H76" s="6" t="s">
        <v>285</v>
      </c>
      <c r="I76" s="7" t="s">
        <v>136</v>
      </c>
    </row>
    <row r="77" customFormat="false" ht="15" hidden="false" customHeight="false" outlineLevel="0" collapsed="false">
      <c r="A77" s="6" t="s">
        <v>82</v>
      </c>
      <c r="B77" s="7" t="s">
        <v>132</v>
      </c>
      <c r="C77" s="7" t="s">
        <v>275</v>
      </c>
      <c r="D77" s="7" t="s">
        <v>286</v>
      </c>
      <c r="E77" s="8" t="n">
        <v>22000</v>
      </c>
      <c r="F77" s="8" t="n">
        <v>10500</v>
      </c>
      <c r="G77" s="9" t="n">
        <v>0.523</v>
      </c>
      <c r="H77" s="6" t="s">
        <v>287</v>
      </c>
      <c r="I77" s="7" t="s">
        <v>171</v>
      </c>
    </row>
    <row r="78" customFormat="false" ht="15" hidden="false" customHeight="false" outlineLevel="0" collapsed="false">
      <c r="A78" s="6" t="s">
        <v>83</v>
      </c>
      <c r="B78" s="7" t="s">
        <v>132</v>
      </c>
      <c r="C78" s="7" t="s">
        <v>275</v>
      </c>
      <c r="D78" s="7" t="s">
        <v>288</v>
      </c>
      <c r="E78" s="8" t="n">
        <v>32000</v>
      </c>
      <c r="F78" s="8" t="n">
        <v>14500</v>
      </c>
      <c r="G78" s="9" t="n">
        <v>0.547</v>
      </c>
      <c r="H78" s="6" t="s">
        <v>289</v>
      </c>
      <c r="I78" s="7" t="s">
        <v>136</v>
      </c>
    </row>
    <row r="79" customFormat="false" ht="15" hidden="false" customHeight="false" outlineLevel="0" collapsed="false">
      <c r="A79" s="6" t="s">
        <v>84</v>
      </c>
      <c r="B79" s="7" t="s">
        <v>132</v>
      </c>
      <c r="C79" s="7" t="s">
        <v>275</v>
      </c>
      <c r="D79" s="7" t="s">
        <v>290</v>
      </c>
      <c r="E79" s="8" t="n">
        <v>27000</v>
      </c>
      <c r="F79" s="8" t="n">
        <v>12000</v>
      </c>
      <c r="G79" s="9" t="n">
        <v>0.556</v>
      </c>
      <c r="H79" s="6" t="s">
        <v>291</v>
      </c>
      <c r="I79" s="7" t="s">
        <v>171</v>
      </c>
    </row>
    <row r="80" customFormat="false" ht="15" hidden="false" customHeight="false" outlineLevel="0" collapsed="false">
      <c r="A80" s="6" t="s">
        <v>85</v>
      </c>
      <c r="B80" s="7" t="s">
        <v>132</v>
      </c>
      <c r="C80" s="7" t="s">
        <v>275</v>
      </c>
      <c r="D80" s="7" t="s">
        <v>292</v>
      </c>
      <c r="E80" s="8" t="n">
        <v>35000</v>
      </c>
      <c r="F80" s="8" t="n">
        <v>16000</v>
      </c>
      <c r="G80" s="9" t="n">
        <v>0.543</v>
      </c>
      <c r="H80" s="6" t="s">
        <v>293</v>
      </c>
      <c r="I80" s="7" t="s">
        <v>171</v>
      </c>
    </row>
    <row r="81" customFormat="false" ht="15" hidden="false" customHeight="false" outlineLevel="0" collapsed="false">
      <c r="A81" s="6" t="s">
        <v>86</v>
      </c>
      <c r="B81" s="7" t="s">
        <v>132</v>
      </c>
      <c r="C81" s="7" t="s">
        <v>275</v>
      </c>
      <c r="D81" s="7" t="s">
        <v>294</v>
      </c>
      <c r="E81" s="8" t="n">
        <v>30000</v>
      </c>
      <c r="F81" s="8" t="n">
        <v>13500</v>
      </c>
      <c r="G81" s="9" t="n">
        <v>0.55</v>
      </c>
      <c r="H81" s="6" t="s">
        <v>295</v>
      </c>
      <c r="I81" s="7" t="s">
        <v>136</v>
      </c>
    </row>
    <row r="82" customFormat="false" ht="15" hidden="false" customHeight="false" outlineLevel="0" collapsed="false">
      <c r="A82" s="6" t="s">
        <v>87</v>
      </c>
      <c r="B82" s="7" t="s">
        <v>132</v>
      </c>
      <c r="C82" s="7" t="s">
        <v>275</v>
      </c>
      <c r="D82" s="7" t="s">
        <v>296</v>
      </c>
      <c r="E82" s="8" t="n">
        <v>25000</v>
      </c>
      <c r="F82" s="8" t="n">
        <v>11000</v>
      </c>
      <c r="G82" s="9" t="n">
        <v>0.56</v>
      </c>
      <c r="H82" s="6" t="s">
        <v>203</v>
      </c>
      <c r="I82" s="7" t="s">
        <v>136</v>
      </c>
    </row>
    <row r="83" customFormat="false" ht="15" hidden="false" customHeight="false" outlineLevel="0" collapsed="false">
      <c r="A83" s="6" t="s">
        <v>88</v>
      </c>
      <c r="B83" s="7" t="s">
        <v>132</v>
      </c>
      <c r="C83" s="7" t="s">
        <v>275</v>
      </c>
      <c r="D83" s="7" t="s">
        <v>297</v>
      </c>
      <c r="E83" s="8" t="n">
        <v>38000</v>
      </c>
      <c r="F83" s="8" t="n">
        <v>17000</v>
      </c>
      <c r="G83" s="9" t="n">
        <v>0.553</v>
      </c>
      <c r="H83" s="6" t="s">
        <v>298</v>
      </c>
      <c r="I83" s="7" t="s">
        <v>136</v>
      </c>
    </row>
    <row r="84" customFormat="false" ht="15" hidden="false" customHeight="false" outlineLevel="0" collapsed="false">
      <c r="A84" s="6" t="s">
        <v>89</v>
      </c>
      <c r="B84" s="7" t="s">
        <v>132</v>
      </c>
      <c r="C84" s="7" t="s">
        <v>275</v>
      </c>
      <c r="D84" s="7" t="s">
        <v>299</v>
      </c>
      <c r="E84" s="8" t="n">
        <v>9000</v>
      </c>
      <c r="F84" s="8" t="n">
        <v>4000</v>
      </c>
      <c r="G84" s="9" t="n">
        <v>0.556</v>
      </c>
      <c r="H84" s="6" t="s">
        <v>300</v>
      </c>
      <c r="I84" s="7" t="s">
        <v>171</v>
      </c>
    </row>
    <row r="85" customFormat="false" ht="15" hidden="false" customHeight="false" outlineLevel="0" collapsed="false">
      <c r="A85" s="6" t="s">
        <v>90</v>
      </c>
      <c r="B85" s="7" t="s">
        <v>132</v>
      </c>
      <c r="C85" s="7" t="s">
        <v>275</v>
      </c>
      <c r="D85" s="7" t="s">
        <v>301</v>
      </c>
      <c r="E85" s="8" t="n">
        <v>9000</v>
      </c>
      <c r="F85" s="8" t="n">
        <v>4000</v>
      </c>
      <c r="G85" s="9" t="n">
        <v>0.556</v>
      </c>
      <c r="H85" s="6" t="s">
        <v>302</v>
      </c>
      <c r="I85" s="7" t="s">
        <v>136</v>
      </c>
    </row>
    <row r="86" customFormat="false" ht="15" hidden="false" customHeight="false" outlineLevel="0" collapsed="false">
      <c r="A86" s="6" t="s">
        <v>25</v>
      </c>
      <c r="B86" s="7" t="s">
        <v>132</v>
      </c>
      <c r="C86" s="7" t="s">
        <v>303</v>
      </c>
      <c r="D86" s="7" t="s">
        <v>304</v>
      </c>
      <c r="E86" s="8" t="n">
        <v>7500</v>
      </c>
      <c r="F86" s="8" t="n">
        <v>3500</v>
      </c>
      <c r="G86" s="9" t="n">
        <v>0.533</v>
      </c>
      <c r="H86" s="6" t="s">
        <v>305</v>
      </c>
      <c r="I86" s="7" t="s">
        <v>136</v>
      </c>
    </row>
    <row r="87" customFormat="false" ht="15" hidden="false" customHeight="false" outlineLevel="0" collapsed="false">
      <c r="A87" s="6" t="s">
        <v>26</v>
      </c>
      <c r="B87" s="7" t="s">
        <v>132</v>
      </c>
      <c r="C87" s="7" t="s">
        <v>303</v>
      </c>
      <c r="D87" s="7" t="s">
        <v>306</v>
      </c>
      <c r="E87" s="8" t="n">
        <v>6500</v>
      </c>
      <c r="F87" s="8" t="n">
        <v>3000</v>
      </c>
      <c r="G87" s="9" t="n">
        <v>0.538</v>
      </c>
      <c r="H87" s="6" t="s">
        <v>307</v>
      </c>
      <c r="I87" s="7" t="s">
        <v>136</v>
      </c>
    </row>
    <row r="88" customFormat="false" ht="15" hidden="false" customHeight="false" outlineLevel="0" collapsed="false">
      <c r="A88" s="6" t="s">
        <v>27</v>
      </c>
      <c r="B88" s="7" t="s">
        <v>132</v>
      </c>
      <c r="C88" s="7" t="s">
        <v>303</v>
      </c>
      <c r="D88" s="7" t="s">
        <v>308</v>
      </c>
      <c r="E88" s="8" t="n">
        <v>8000</v>
      </c>
      <c r="F88" s="8" t="n">
        <v>3800</v>
      </c>
      <c r="G88" s="9" t="n">
        <v>0.525</v>
      </c>
      <c r="H88" s="6" t="s">
        <v>309</v>
      </c>
      <c r="I88" s="7" t="s">
        <v>136</v>
      </c>
    </row>
    <row r="89" customFormat="false" ht="15" hidden="false" customHeight="false" outlineLevel="0" collapsed="false">
      <c r="A89" s="6" t="s">
        <v>28</v>
      </c>
      <c r="B89" s="7" t="s">
        <v>132</v>
      </c>
      <c r="C89" s="7" t="s">
        <v>303</v>
      </c>
      <c r="D89" s="7" t="s">
        <v>310</v>
      </c>
      <c r="E89" s="8" t="n">
        <v>8500</v>
      </c>
      <c r="F89" s="8" t="n">
        <v>4000</v>
      </c>
      <c r="G89" s="9" t="n">
        <v>0.529</v>
      </c>
      <c r="H89" s="6" t="s">
        <v>311</v>
      </c>
      <c r="I89" s="7" t="s">
        <v>136</v>
      </c>
    </row>
    <row r="90" customFormat="false" ht="15" hidden="false" customHeight="false" outlineLevel="0" collapsed="false">
      <c r="A90" s="6" t="s">
        <v>29</v>
      </c>
      <c r="B90" s="7" t="s">
        <v>132</v>
      </c>
      <c r="C90" s="7" t="s">
        <v>303</v>
      </c>
      <c r="D90" s="7" t="s">
        <v>312</v>
      </c>
      <c r="E90" s="8" t="n">
        <v>11000</v>
      </c>
      <c r="F90" s="8" t="n">
        <v>5200</v>
      </c>
      <c r="G90" s="9" t="n">
        <v>0.527</v>
      </c>
      <c r="H90" s="6" t="s">
        <v>313</v>
      </c>
      <c r="I90" s="7" t="s">
        <v>136</v>
      </c>
    </row>
    <row r="91" customFormat="false" ht="15" hidden="false" customHeight="false" outlineLevel="0" collapsed="false">
      <c r="A91" s="6" t="s">
        <v>30</v>
      </c>
      <c r="B91" s="7" t="s">
        <v>132</v>
      </c>
      <c r="C91" s="7" t="s">
        <v>303</v>
      </c>
      <c r="D91" s="7" t="s">
        <v>314</v>
      </c>
      <c r="E91" s="8" t="n">
        <v>13000</v>
      </c>
      <c r="F91" s="8" t="n">
        <v>6000</v>
      </c>
      <c r="G91" s="9" t="n">
        <v>0.538</v>
      </c>
      <c r="H91" s="6" t="s">
        <v>315</v>
      </c>
      <c r="I91" s="7" t="s">
        <v>136</v>
      </c>
    </row>
    <row r="92" customFormat="false" ht="15" hidden="false" customHeight="false" outlineLevel="0" collapsed="false">
      <c r="A92" s="6" t="s">
        <v>31</v>
      </c>
      <c r="B92" s="7" t="s">
        <v>132</v>
      </c>
      <c r="C92" s="7" t="s">
        <v>303</v>
      </c>
      <c r="D92" s="7" t="s">
        <v>316</v>
      </c>
      <c r="E92" s="8" t="n">
        <v>11000</v>
      </c>
      <c r="F92" s="8" t="n">
        <v>5000</v>
      </c>
      <c r="G92" s="9" t="n">
        <v>0.545</v>
      </c>
      <c r="H92" s="6" t="s">
        <v>317</v>
      </c>
      <c r="I92" s="7" t="s">
        <v>136</v>
      </c>
    </row>
    <row r="93" customFormat="false" ht="15" hidden="false" customHeight="false" outlineLevel="0" collapsed="false">
      <c r="A93" s="6" t="s">
        <v>32</v>
      </c>
      <c r="B93" s="7" t="s">
        <v>132</v>
      </c>
      <c r="C93" s="7" t="s">
        <v>303</v>
      </c>
      <c r="D93" s="7" t="s">
        <v>318</v>
      </c>
      <c r="E93" s="8" t="n">
        <v>14000</v>
      </c>
      <c r="F93" s="8" t="n">
        <v>6500</v>
      </c>
      <c r="G93" s="9" t="n">
        <v>0.536</v>
      </c>
      <c r="H93" s="6" t="s">
        <v>319</v>
      </c>
      <c r="I93" s="7" t="s">
        <v>136</v>
      </c>
    </row>
    <row r="94" customFormat="false" ht="15" hidden="false" customHeight="false" outlineLevel="0" collapsed="false">
      <c r="A94" s="6" t="s">
        <v>33</v>
      </c>
      <c r="B94" s="7" t="s">
        <v>132</v>
      </c>
      <c r="C94" s="7" t="s">
        <v>303</v>
      </c>
      <c r="D94" s="7" t="s">
        <v>320</v>
      </c>
      <c r="E94" s="8" t="n">
        <v>15000</v>
      </c>
      <c r="F94" s="8" t="n">
        <v>7000</v>
      </c>
      <c r="G94" s="9" t="n">
        <v>0.533</v>
      </c>
      <c r="H94" s="6" t="s">
        <v>321</v>
      </c>
      <c r="I94" s="7" t="s">
        <v>136</v>
      </c>
    </row>
    <row r="95" customFormat="false" ht="15" hidden="false" customHeight="false" outlineLevel="0" collapsed="false">
      <c r="A95" s="6" t="s">
        <v>34</v>
      </c>
      <c r="B95" s="7" t="s">
        <v>132</v>
      </c>
      <c r="C95" s="7" t="s">
        <v>303</v>
      </c>
      <c r="D95" s="7" t="s">
        <v>322</v>
      </c>
      <c r="E95" s="8" t="n">
        <v>19000</v>
      </c>
      <c r="F95" s="8" t="n">
        <v>9000</v>
      </c>
      <c r="G95" s="9" t="n">
        <v>0.526</v>
      </c>
      <c r="H95" s="6" t="s">
        <v>323</v>
      </c>
      <c r="I95" s="7" t="s">
        <v>136</v>
      </c>
    </row>
    <row r="96" customFormat="false" ht="15" hidden="false" customHeight="false" outlineLevel="0" collapsed="false">
      <c r="A96" s="6" t="s">
        <v>35</v>
      </c>
      <c r="B96" s="7" t="s">
        <v>132</v>
      </c>
      <c r="C96" s="7" t="s">
        <v>303</v>
      </c>
      <c r="D96" s="7" t="s">
        <v>324</v>
      </c>
      <c r="E96" s="8" t="n">
        <v>8000</v>
      </c>
      <c r="F96" s="8" t="n">
        <v>3600</v>
      </c>
      <c r="G96" s="9" t="n">
        <v>0.55</v>
      </c>
      <c r="H96" s="6" t="s">
        <v>325</v>
      </c>
      <c r="I96" s="7" t="s">
        <v>136</v>
      </c>
    </row>
    <row r="97" customFormat="false" ht="15" hidden="false" customHeight="false" outlineLevel="0" collapsed="false">
      <c r="A97" s="6" t="s">
        <v>36</v>
      </c>
      <c r="B97" s="7" t="s">
        <v>132</v>
      </c>
      <c r="C97" s="7" t="s">
        <v>303</v>
      </c>
      <c r="D97" s="7" t="s">
        <v>326</v>
      </c>
      <c r="E97" s="8" t="n">
        <v>21000</v>
      </c>
      <c r="F97" s="8" t="n">
        <v>9500</v>
      </c>
      <c r="G97" s="9" t="n">
        <v>0.548</v>
      </c>
      <c r="H97" s="6" t="s">
        <v>327</v>
      </c>
      <c r="I97" s="7" t="s">
        <v>136</v>
      </c>
    </row>
    <row r="98" customFormat="false" ht="15" hidden="false" customHeight="false" outlineLevel="0" collapsed="false">
      <c r="A98" s="6" t="s">
        <v>37</v>
      </c>
      <c r="B98" s="7" t="s">
        <v>132</v>
      </c>
      <c r="C98" s="7" t="s">
        <v>328</v>
      </c>
      <c r="D98" s="7" t="s">
        <v>329</v>
      </c>
      <c r="E98" s="8" t="n">
        <v>32000</v>
      </c>
      <c r="F98" s="8" t="n">
        <v>14000</v>
      </c>
      <c r="G98" s="9" t="n">
        <v>0.562</v>
      </c>
      <c r="H98" s="6" t="s">
        <v>330</v>
      </c>
      <c r="I98" s="7" t="s">
        <v>136</v>
      </c>
    </row>
    <row r="99" customFormat="false" ht="15" hidden="false" customHeight="false" outlineLevel="0" collapsed="false">
      <c r="A99" s="6" t="s">
        <v>38</v>
      </c>
      <c r="B99" s="7" t="s">
        <v>132</v>
      </c>
      <c r="C99" s="7" t="s">
        <v>328</v>
      </c>
      <c r="D99" s="7" t="s">
        <v>331</v>
      </c>
      <c r="E99" s="8" t="n">
        <v>48000</v>
      </c>
      <c r="F99" s="8" t="n">
        <v>21000</v>
      </c>
      <c r="G99" s="9" t="n">
        <v>0.562</v>
      </c>
      <c r="H99" s="6" t="s">
        <v>219</v>
      </c>
      <c r="I99" s="7" t="s">
        <v>171</v>
      </c>
    </row>
    <row r="100" customFormat="false" ht="15" hidden="false" customHeight="false" outlineLevel="0" collapsed="false">
      <c r="A100" s="6" t="s">
        <v>39</v>
      </c>
      <c r="B100" s="7" t="s">
        <v>132</v>
      </c>
      <c r="C100" s="7" t="s">
        <v>328</v>
      </c>
      <c r="D100" s="7" t="s">
        <v>332</v>
      </c>
      <c r="E100" s="8" t="n">
        <v>38000</v>
      </c>
      <c r="F100" s="8" t="n">
        <v>17000</v>
      </c>
      <c r="G100" s="9" t="n">
        <v>0.553</v>
      </c>
      <c r="H100" s="6" t="s">
        <v>333</v>
      </c>
      <c r="I100" s="7" t="s">
        <v>136</v>
      </c>
    </row>
    <row r="101" customFormat="false" ht="15" hidden="false" customHeight="false" outlineLevel="0" collapsed="false">
      <c r="A101" s="6" t="s">
        <v>40</v>
      </c>
      <c r="B101" s="7" t="s">
        <v>132</v>
      </c>
      <c r="C101" s="7" t="s">
        <v>328</v>
      </c>
      <c r="D101" s="7" t="s">
        <v>334</v>
      </c>
      <c r="E101" s="8" t="n">
        <v>45000</v>
      </c>
      <c r="F101" s="8" t="n">
        <v>20000</v>
      </c>
      <c r="G101" s="9" t="n">
        <v>0.556</v>
      </c>
      <c r="H101" s="6" t="s">
        <v>335</v>
      </c>
      <c r="I101" s="7" t="s">
        <v>136</v>
      </c>
    </row>
    <row r="102" customFormat="false" ht="15" hidden="false" customHeight="false" outlineLevel="0" collapsed="false">
      <c r="A102" s="6" t="s">
        <v>41</v>
      </c>
      <c r="B102" s="7" t="s">
        <v>132</v>
      </c>
      <c r="C102" s="7" t="s">
        <v>328</v>
      </c>
      <c r="D102" s="7" t="s">
        <v>336</v>
      </c>
      <c r="E102" s="8" t="n">
        <v>42000</v>
      </c>
      <c r="F102" s="8" t="n">
        <v>18000</v>
      </c>
      <c r="G102" s="9" t="n">
        <v>0.571</v>
      </c>
      <c r="H102" s="6" t="s">
        <v>337</v>
      </c>
      <c r="I102" s="7" t="s">
        <v>136</v>
      </c>
    </row>
    <row r="103" customFormat="false" ht="15" hidden="false" customHeight="false" outlineLevel="0" collapsed="false">
      <c r="A103" s="6" t="s">
        <v>42</v>
      </c>
      <c r="B103" s="7" t="s">
        <v>132</v>
      </c>
      <c r="C103" s="7" t="s">
        <v>328</v>
      </c>
      <c r="D103" s="7" t="s">
        <v>338</v>
      </c>
      <c r="E103" s="8" t="n">
        <v>68000</v>
      </c>
      <c r="F103" s="8" t="n">
        <v>30000</v>
      </c>
      <c r="G103" s="9" t="n">
        <v>0.559</v>
      </c>
      <c r="H103" s="6" t="s">
        <v>287</v>
      </c>
      <c r="I103" s="7" t="s">
        <v>136</v>
      </c>
    </row>
    <row r="104" customFormat="false" ht="15" hidden="false" customHeight="false" outlineLevel="0" collapsed="false">
      <c r="A104" s="6" t="s">
        <v>43</v>
      </c>
      <c r="B104" s="7" t="s">
        <v>132</v>
      </c>
      <c r="C104" s="7" t="s">
        <v>328</v>
      </c>
      <c r="D104" s="7" t="s">
        <v>339</v>
      </c>
      <c r="E104" s="8" t="n">
        <v>25000</v>
      </c>
      <c r="F104" s="8" t="n">
        <v>11000</v>
      </c>
      <c r="G104" s="9" t="n">
        <v>0.56</v>
      </c>
      <c r="H104" s="6" t="s">
        <v>340</v>
      </c>
      <c r="I104" s="7" t="s">
        <v>136</v>
      </c>
    </row>
    <row r="105" customFormat="false" ht="15" hidden="false" customHeight="false" outlineLevel="0" collapsed="false">
      <c r="A105" s="6" t="s">
        <v>44</v>
      </c>
      <c r="B105" s="7" t="s">
        <v>132</v>
      </c>
      <c r="C105" s="7" t="s">
        <v>328</v>
      </c>
      <c r="D105" s="7" t="s">
        <v>341</v>
      </c>
      <c r="E105" s="8" t="n">
        <v>89000</v>
      </c>
      <c r="F105" s="8" t="n">
        <v>39000</v>
      </c>
      <c r="G105" s="9" t="n">
        <v>0.562</v>
      </c>
      <c r="H105" s="6" t="s">
        <v>342</v>
      </c>
      <c r="I105" s="7" t="s">
        <v>136</v>
      </c>
    </row>
    <row r="106" customFormat="false" ht="15" hidden="false" customHeight="false" outlineLevel="0" collapsed="false">
      <c r="A106" s="6" t="s">
        <v>45</v>
      </c>
      <c r="B106" s="7" t="s">
        <v>132</v>
      </c>
      <c r="C106" s="7" t="s">
        <v>328</v>
      </c>
      <c r="D106" s="7" t="s">
        <v>343</v>
      </c>
      <c r="E106" s="8" t="n">
        <v>35000</v>
      </c>
      <c r="F106" s="8" t="n">
        <v>15500</v>
      </c>
      <c r="G106" s="9" t="n">
        <v>0.557</v>
      </c>
      <c r="H106" s="6" t="s">
        <v>344</v>
      </c>
      <c r="I106" s="7" t="s">
        <v>136</v>
      </c>
    </row>
    <row r="107" customFormat="false" ht="15" hidden="false" customHeight="false" outlineLevel="0" collapsed="false">
      <c r="A107" s="6" t="s">
        <v>46</v>
      </c>
      <c r="B107" s="7" t="s">
        <v>132</v>
      </c>
      <c r="C107" s="7" t="s">
        <v>328</v>
      </c>
      <c r="D107" s="7" t="s">
        <v>345</v>
      </c>
      <c r="E107" s="8" t="n">
        <v>28000</v>
      </c>
      <c r="F107" s="8" t="n">
        <v>12500</v>
      </c>
      <c r="G107" s="9" t="n">
        <v>0.554</v>
      </c>
      <c r="H107" s="6" t="s">
        <v>346</v>
      </c>
      <c r="I107" s="7" t="s">
        <v>136</v>
      </c>
    </row>
    <row r="108" customFormat="false" ht="15" hidden="false" customHeight="false" outlineLevel="0" collapsed="false">
      <c r="A108" s="6" t="s">
        <v>47</v>
      </c>
      <c r="B108" s="7" t="s">
        <v>132</v>
      </c>
      <c r="C108" s="7" t="s">
        <v>328</v>
      </c>
      <c r="D108" s="7" t="s">
        <v>347</v>
      </c>
      <c r="E108" s="8" t="n">
        <v>52000</v>
      </c>
      <c r="F108" s="8" t="n">
        <v>23000</v>
      </c>
      <c r="G108" s="9" t="n">
        <v>0.558</v>
      </c>
      <c r="H108" s="6" t="s">
        <v>348</v>
      </c>
      <c r="I108" s="7" t="s">
        <v>139</v>
      </c>
    </row>
    <row r="109" customFormat="false" ht="15" hidden="false" customHeight="false" outlineLevel="0" collapsed="false">
      <c r="A109" s="6" t="s">
        <v>48</v>
      </c>
      <c r="B109" s="7" t="s">
        <v>132</v>
      </c>
      <c r="C109" s="7" t="s">
        <v>328</v>
      </c>
      <c r="D109" s="7" t="s">
        <v>349</v>
      </c>
      <c r="E109" s="8" t="n">
        <v>55000</v>
      </c>
      <c r="F109" s="8" t="n">
        <v>24000</v>
      </c>
      <c r="G109" s="9" t="n">
        <v>0.564</v>
      </c>
      <c r="H109" s="6" t="s">
        <v>350</v>
      </c>
      <c r="I109" s="7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9" min="3" style="0" width="1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351</v>
      </c>
      <c r="E1" s="5" t="s">
        <v>352</v>
      </c>
      <c r="F1" s="5" t="s">
        <v>353</v>
      </c>
      <c r="G1" s="5" t="s">
        <v>354</v>
      </c>
      <c r="H1" s="5" t="s">
        <v>355</v>
      </c>
      <c r="I1" s="5" t="s">
        <v>356</v>
      </c>
      <c r="J1" s="5" t="s">
        <v>357</v>
      </c>
    </row>
    <row r="2" customFormat="false" ht="15" hidden="false" customHeight="false" outlineLevel="0" collapsed="false">
      <c r="A2" s="6" t="s">
        <v>49</v>
      </c>
      <c r="B2" s="7" t="s">
        <v>134</v>
      </c>
      <c r="C2" s="7" t="s">
        <v>133</v>
      </c>
      <c r="D2" s="6" t="n">
        <v>443</v>
      </c>
      <c r="E2" s="6" t="n">
        <v>46</v>
      </c>
      <c r="F2" s="6" t="n">
        <v>52</v>
      </c>
      <c r="G2" s="6" t="n">
        <v>541</v>
      </c>
      <c r="H2" s="6" t="n">
        <v>150</v>
      </c>
      <c r="I2" s="7" t="s">
        <v>358</v>
      </c>
      <c r="J2" s="6" t="s">
        <v>359</v>
      </c>
    </row>
    <row r="3" customFormat="false" ht="15" hidden="false" customHeight="false" outlineLevel="0" collapsed="false">
      <c r="A3" s="6" t="s">
        <v>50</v>
      </c>
      <c r="B3" s="7" t="s">
        <v>137</v>
      </c>
      <c r="C3" s="7" t="s">
        <v>133</v>
      </c>
      <c r="D3" s="6" t="n">
        <v>701</v>
      </c>
      <c r="E3" s="6" t="n">
        <v>218</v>
      </c>
      <c r="F3" s="6" t="n">
        <v>58</v>
      </c>
      <c r="G3" s="6" t="n">
        <v>977</v>
      </c>
      <c r="H3" s="6" t="n">
        <v>120</v>
      </c>
      <c r="I3" s="7" t="s">
        <v>358</v>
      </c>
      <c r="J3" s="6" t="s">
        <v>360</v>
      </c>
    </row>
    <row r="4" customFormat="false" ht="15" hidden="false" customHeight="false" outlineLevel="0" collapsed="false">
      <c r="A4" s="6" t="s">
        <v>51</v>
      </c>
      <c r="B4" s="7" t="s">
        <v>140</v>
      </c>
      <c r="C4" s="7" t="s">
        <v>133</v>
      </c>
      <c r="D4" s="6" t="n">
        <v>742</v>
      </c>
      <c r="E4" s="6" t="n">
        <v>126</v>
      </c>
      <c r="F4" s="6" t="n">
        <v>78</v>
      </c>
      <c r="G4" s="6" t="n">
        <v>946</v>
      </c>
      <c r="H4" s="6" t="n">
        <v>80</v>
      </c>
      <c r="I4" s="7" t="s">
        <v>358</v>
      </c>
      <c r="J4" s="6" t="s">
        <v>361</v>
      </c>
    </row>
    <row r="5" customFormat="false" ht="15" hidden="false" customHeight="false" outlineLevel="0" collapsed="false">
      <c r="A5" s="6" t="s">
        <v>52</v>
      </c>
      <c r="B5" s="7" t="s">
        <v>142</v>
      </c>
      <c r="C5" s="7" t="s">
        <v>133</v>
      </c>
      <c r="D5" s="6" t="n">
        <v>792</v>
      </c>
      <c r="E5" s="6" t="n">
        <v>59</v>
      </c>
      <c r="F5" s="6" t="n">
        <v>85</v>
      </c>
      <c r="G5" s="6" t="n">
        <v>936</v>
      </c>
      <c r="H5" s="6" t="n">
        <v>100</v>
      </c>
      <c r="I5" s="7" t="s">
        <v>358</v>
      </c>
      <c r="J5" s="6" t="s">
        <v>362</v>
      </c>
    </row>
    <row r="6" customFormat="false" ht="15" hidden="false" customHeight="false" outlineLevel="0" collapsed="false">
      <c r="A6" s="6" t="s">
        <v>53</v>
      </c>
      <c r="B6" s="7" t="s">
        <v>144</v>
      </c>
      <c r="C6" s="7" t="s">
        <v>133</v>
      </c>
      <c r="D6" s="6" t="n">
        <v>600</v>
      </c>
      <c r="E6" s="6" t="n">
        <v>254</v>
      </c>
      <c r="F6" s="6" t="n">
        <v>46</v>
      </c>
      <c r="G6" s="6" t="n">
        <v>900</v>
      </c>
      <c r="H6" s="6" t="n">
        <v>100</v>
      </c>
      <c r="I6" s="7" t="s">
        <v>358</v>
      </c>
      <c r="J6" s="6" t="s">
        <v>360</v>
      </c>
    </row>
    <row r="7" customFormat="false" ht="15" hidden="false" customHeight="false" outlineLevel="0" collapsed="false">
      <c r="A7" s="6" t="s">
        <v>54</v>
      </c>
      <c r="B7" s="7" t="s">
        <v>146</v>
      </c>
      <c r="C7" s="7" t="s">
        <v>133</v>
      </c>
      <c r="D7" s="6" t="n">
        <v>428</v>
      </c>
      <c r="E7" s="6" t="n">
        <v>77</v>
      </c>
      <c r="F7" s="6" t="n">
        <v>47</v>
      </c>
      <c r="G7" s="6" t="n">
        <v>552</v>
      </c>
      <c r="H7" s="6" t="n">
        <v>30</v>
      </c>
      <c r="I7" s="7" t="s">
        <v>358</v>
      </c>
      <c r="J7" s="6" t="s">
        <v>363</v>
      </c>
    </row>
    <row r="8" customFormat="false" ht="15" hidden="false" customHeight="false" outlineLevel="0" collapsed="false">
      <c r="A8" s="6" t="s">
        <v>55</v>
      </c>
      <c r="B8" s="7" t="s">
        <v>148</v>
      </c>
      <c r="C8" s="7" t="s">
        <v>133</v>
      </c>
      <c r="D8" s="6" t="n">
        <v>46</v>
      </c>
      <c r="E8" s="6" t="n">
        <v>25</v>
      </c>
      <c r="F8" s="6" t="n">
        <v>43</v>
      </c>
      <c r="G8" s="6" t="n">
        <v>114</v>
      </c>
      <c r="H8" s="6" t="n">
        <v>30</v>
      </c>
      <c r="I8" s="7" t="s">
        <v>358</v>
      </c>
      <c r="J8" s="6" t="s">
        <v>364</v>
      </c>
    </row>
    <row r="9" customFormat="false" ht="15" hidden="false" customHeight="false" outlineLevel="0" collapsed="false">
      <c r="A9" s="6" t="s">
        <v>56</v>
      </c>
      <c r="B9" s="7" t="s">
        <v>150</v>
      </c>
      <c r="C9" s="7" t="s">
        <v>133</v>
      </c>
      <c r="D9" s="6" t="n">
        <v>512</v>
      </c>
      <c r="E9" s="6" t="n">
        <v>130</v>
      </c>
      <c r="F9" s="6" t="n">
        <v>143</v>
      </c>
      <c r="G9" s="6" t="n">
        <v>785</v>
      </c>
      <c r="H9" s="6" t="n">
        <v>100</v>
      </c>
      <c r="I9" s="7" t="s">
        <v>358</v>
      </c>
      <c r="J9" s="6" t="s">
        <v>365</v>
      </c>
    </row>
    <row r="10" customFormat="false" ht="15" hidden="false" customHeight="false" outlineLevel="0" collapsed="false">
      <c r="A10" s="6" t="s">
        <v>57</v>
      </c>
      <c r="B10" s="7" t="s">
        <v>152</v>
      </c>
      <c r="C10" s="7" t="s">
        <v>133</v>
      </c>
      <c r="D10" s="6" t="n">
        <v>103</v>
      </c>
      <c r="E10" s="6" t="n">
        <v>143</v>
      </c>
      <c r="F10" s="6" t="n">
        <v>108</v>
      </c>
      <c r="G10" s="6" t="n">
        <v>354</v>
      </c>
      <c r="H10" s="6" t="n">
        <v>200</v>
      </c>
      <c r="I10" s="7" t="s">
        <v>358</v>
      </c>
      <c r="J10" s="6" t="s">
        <v>366</v>
      </c>
    </row>
    <row r="11" customFormat="false" ht="15" hidden="false" customHeight="false" outlineLevel="0" collapsed="false">
      <c r="A11" s="6" t="s">
        <v>58</v>
      </c>
      <c r="B11" s="7" t="s">
        <v>154</v>
      </c>
      <c r="C11" s="7" t="s">
        <v>133</v>
      </c>
      <c r="D11" s="6" t="n">
        <v>108</v>
      </c>
      <c r="E11" s="6" t="n">
        <v>239</v>
      </c>
      <c r="F11" s="6" t="n">
        <v>9</v>
      </c>
      <c r="G11" s="6" t="n">
        <v>356</v>
      </c>
      <c r="H11" s="6" t="n">
        <v>50</v>
      </c>
      <c r="I11" s="7" t="s">
        <v>358</v>
      </c>
      <c r="J11" s="6" t="s">
        <v>364</v>
      </c>
    </row>
    <row r="12" customFormat="false" ht="15" hidden="false" customHeight="false" outlineLevel="0" collapsed="false">
      <c r="A12" s="6" t="s">
        <v>59</v>
      </c>
      <c r="B12" s="7" t="s">
        <v>156</v>
      </c>
      <c r="C12" s="7" t="s">
        <v>133</v>
      </c>
      <c r="D12" s="6" t="n">
        <v>482</v>
      </c>
      <c r="E12" s="6" t="n">
        <v>93</v>
      </c>
      <c r="F12" s="6" t="n">
        <v>26</v>
      </c>
      <c r="G12" s="6" t="n">
        <v>601</v>
      </c>
      <c r="H12" s="6" t="n">
        <v>200</v>
      </c>
      <c r="I12" s="7" t="s">
        <v>358</v>
      </c>
      <c r="J12" s="6" t="s">
        <v>367</v>
      </c>
    </row>
    <row r="13" customFormat="false" ht="15" hidden="false" customHeight="false" outlineLevel="0" collapsed="false">
      <c r="A13" s="6" t="s">
        <v>60</v>
      </c>
      <c r="B13" s="7" t="s">
        <v>158</v>
      </c>
      <c r="C13" s="7" t="s">
        <v>133</v>
      </c>
      <c r="D13" s="6" t="n">
        <v>582</v>
      </c>
      <c r="E13" s="6" t="n">
        <v>137</v>
      </c>
      <c r="F13" s="6" t="n">
        <v>75</v>
      </c>
      <c r="G13" s="6" t="n">
        <v>794</v>
      </c>
      <c r="H13" s="6" t="n">
        <v>30</v>
      </c>
      <c r="I13" s="7" t="s">
        <v>358</v>
      </c>
      <c r="J13" s="6" t="s">
        <v>368</v>
      </c>
    </row>
    <row r="14" customFormat="false" ht="15" hidden="false" customHeight="false" outlineLevel="0" collapsed="false">
      <c r="A14" s="6" t="s">
        <v>61</v>
      </c>
      <c r="B14" s="7" t="s">
        <v>160</v>
      </c>
      <c r="C14" s="7" t="s">
        <v>133</v>
      </c>
      <c r="D14" s="6" t="n">
        <v>387</v>
      </c>
      <c r="E14" s="6" t="n">
        <v>267</v>
      </c>
      <c r="F14" s="6" t="n">
        <v>65</v>
      </c>
      <c r="G14" s="6" t="n">
        <v>719</v>
      </c>
      <c r="H14" s="6" t="n">
        <v>30</v>
      </c>
      <c r="I14" s="7" t="s">
        <v>358</v>
      </c>
      <c r="J14" s="6" t="s">
        <v>367</v>
      </c>
    </row>
    <row r="15" customFormat="false" ht="15" hidden="false" customHeight="false" outlineLevel="0" collapsed="false">
      <c r="A15" s="6" t="s">
        <v>62</v>
      </c>
      <c r="B15" s="7" t="s">
        <v>162</v>
      </c>
      <c r="C15" s="7" t="s">
        <v>133</v>
      </c>
      <c r="D15" s="6" t="n">
        <v>307</v>
      </c>
      <c r="E15" s="6" t="n">
        <v>137</v>
      </c>
      <c r="F15" s="6" t="n">
        <v>113</v>
      </c>
      <c r="G15" s="6" t="n">
        <v>557</v>
      </c>
      <c r="H15" s="6" t="n">
        <v>50</v>
      </c>
      <c r="I15" s="7" t="s">
        <v>358</v>
      </c>
      <c r="J15" s="6" t="s">
        <v>369</v>
      </c>
    </row>
    <row r="16" customFormat="false" ht="15" hidden="false" customHeight="false" outlineLevel="0" collapsed="false">
      <c r="A16" s="6" t="s">
        <v>63</v>
      </c>
      <c r="B16" s="7" t="s">
        <v>164</v>
      </c>
      <c r="C16" s="7" t="s">
        <v>133</v>
      </c>
      <c r="D16" s="6" t="n">
        <v>269</v>
      </c>
      <c r="E16" s="6" t="n">
        <v>174</v>
      </c>
      <c r="F16" s="6" t="n">
        <v>44</v>
      </c>
      <c r="G16" s="6" t="n">
        <v>487</v>
      </c>
      <c r="H16" s="6" t="n">
        <v>150</v>
      </c>
      <c r="I16" s="7" t="s">
        <v>358</v>
      </c>
      <c r="J16" s="6" t="s">
        <v>370</v>
      </c>
    </row>
    <row r="17" customFormat="false" ht="15" hidden="false" customHeight="false" outlineLevel="0" collapsed="false">
      <c r="A17" s="6" t="s">
        <v>64</v>
      </c>
      <c r="B17" s="7" t="s">
        <v>166</v>
      </c>
      <c r="C17" s="7" t="s">
        <v>133</v>
      </c>
      <c r="D17" s="6" t="n">
        <v>579</v>
      </c>
      <c r="E17" s="6" t="n">
        <v>247</v>
      </c>
      <c r="F17" s="6" t="n">
        <v>47</v>
      </c>
      <c r="G17" s="6" t="n">
        <v>873</v>
      </c>
      <c r="H17" s="6" t="n">
        <v>150</v>
      </c>
      <c r="I17" s="7" t="s">
        <v>358</v>
      </c>
      <c r="J17" s="6" t="s">
        <v>371</v>
      </c>
    </row>
    <row r="18" customFormat="false" ht="15" hidden="false" customHeight="false" outlineLevel="0" collapsed="false">
      <c r="A18" s="6" t="s">
        <v>91</v>
      </c>
      <c r="B18" s="7" t="s">
        <v>169</v>
      </c>
      <c r="C18" s="7" t="s">
        <v>168</v>
      </c>
      <c r="D18" s="6" t="n">
        <v>697</v>
      </c>
      <c r="E18" s="6" t="n">
        <v>16</v>
      </c>
      <c r="F18" s="6" t="n">
        <v>7</v>
      </c>
      <c r="G18" s="6" t="n">
        <v>720</v>
      </c>
      <c r="H18" s="6" t="n">
        <v>200</v>
      </c>
      <c r="I18" s="7" t="s">
        <v>358</v>
      </c>
      <c r="J18" s="6" t="s">
        <v>368</v>
      </c>
    </row>
    <row r="19" customFormat="false" ht="15" hidden="false" customHeight="false" outlineLevel="0" collapsed="false">
      <c r="A19" s="6" t="s">
        <v>92</v>
      </c>
      <c r="B19" s="7" t="s">
        <v>172</v>
      </c>
      <c r="C19" s="7" t="s">
        <v>168</v>
      </c>
      <c r="D19" s="6" t="n">
        <v>730</v>
      </c>
      <c r="E19" s="6" t="n">
        <v>223</v>
      </c>
      <c r="F19" s="6" t="n">
        <v>98</v>
      </c>
      <c r="G19" s="6" t="n">
        <v>1051</v>
      </c>
      <c r="H19" s="6" t="n">
        <v>50</v>
      </c>
      <c r="I19" s="7" t="s">
        <v>358</v>
      </c>
      <c r="J19" s="6" t="s">
        <v>371</v>
      </c>
    </row>
    <row r="20" customFormat="false" ht="15" hidden="false" customHeight="false" outlineLevel="0" collapsed="false">
      <c r="A20" s="6" t="s">
        <v>93</v>
      </c>
      <c r="B20" s="7" t="s">
        <v>174</v>
      </c>
      <c r="C20" s="7" t="s">
        <v>168</v>
      </c>
      <c r="D20" s="6" t="n">
        <v>415</v>
      </c>
      <c r="E20" s="6" t="n">
        <v>66</v>
      </c>
      <c r="F20" s="6" t="n">
        <v>31</v>
      </c>
      <c r="G20" s="6" t="n">
        <v>512</v>
      </c>
      <c r="H20" s="6" t="n">
        <v>80</v>
      </c>
      <c r="I20" s="7" t="s">
        <v>358</v>
      </c>
      <c r="J20" s="6" t="s">
        <v>371</v>
      </c>
    </row>
    <row r="21" customFormat="false" ht="15" hidden="false" customHeight="false" outlineLevel="0" collapsed="false">
      <c r="A21" s="6" t="s">
        <v>94</v>
      </c>
      <c r="B21" s="7" t="s">
        <v>176</v>
      </c>
      <c r="C21" s="7" t="s">
        <v>168</v>
      </c>
      <c r="D21" s="6" t="n">
        <v>119</v>
      </c>
      <c r="E21" s="6" t="n">
        <v>173</v>
      </c>
      <c r="F21" s="6" t="n">
        <v>79</v>
      </c>
      <c r="G21" s="6" t="n">
        <v>371</v>
      </c>
      <c r="H21" s="6" t="n">
        <v>50</v>
      </c>
      <c r="I21" s="7" t="s">
        <v>358</v>
      </c>
      <c r="J21" s="6" t="s">
        <v>372</v>
      </c>
    </row>
    <row r="22" customFormat="false" ht="15" hidden="false" customHeight="false" outlineLevel="0" collapsed="false">
      <c r="A22" s="6" t="s">
        <v>95</v>
      </c>
      <c r="B22" s="7" t="s">
        <v>178</v>
      </c>
      <c r="C22" s="7" t="s">
        <v>168</v>
      </c>
      <c r="D22" s="6" t="n">
        <v>617</v>
      </c>
      <c r="E22" s="6" t="n">
        <v>238</v>
      </c>
      <c r="F22" s="6" t="n">
        <v>63</v>
      </c>
      <c r="G22" s="6" t="n">
        <v>918</v>
      </c>
      <c r="H22" s="6" t="n">
        <v>120</v>
      </c>
      <c r="I22" s="7" t="s">
        <v>358</v>
      </c>
      <c r="J22" s="6" t="s">
        <v>373</v>
      </c>
    </row>
    <row r="23" customFormat="false" ht="15" hidden="false" customHeight="false" outlineLevel="0" collapsed="false">
      <c r="A23" s="6" t="s">
        <v>96</v>
      </c>
      <c r="B23" s="7" t="s">
        <v>180</v>
      </c>
      <c r="C23" s="7" t="s">
        <v>168</v>
      </c>
      <c r="D23" s="6" t="n">
        <v>707</v>
      </c>
      <c r="E23" s="6" t="n">
        <v>201</v>
      </c>
      <c r="F23" s="6" t="n">
        <v>26</v>
      </c>
      <c r="G23" s="6" t="n">
        <v>934</v>
      </c>
      <c r="H23" s="6" t="n">
        <v>50</v>
      </c>
      <c r="I23" s="7" t="s">
        <v>358</v>
      </c>
      <c r="J23" s="6" t="s">
        <v>374</v>
      </c>
    </row>
    <row r="24" customFormat="false" ht="15" hidden="false" customHeight="false" outlineLevel="0" collapsed="false">
      <c r="A24" s="6" t="s">
        <v>97</v>
      </c>
      <c r="B24" s="7" t="s">
        <v>182</v>
      </c>
      <c r="C24" s="7" t="s">
        <v>168</v>
      </c>
      <c r="D24" s="6" t="n">
        <v>36</v>
      </c>
      <c r="E24" s="6" t="n">
        <v>59</v>
      </c>
      <c r="F24" s="6" t="n">
        <v>131</v>
      </c>
      <c r="G24" s="6" t="n">
        <v>226</v>
      </c>
      <c r="H24" s="6" t="n">
        <v>120</v>
      </c>
      <c r="I24" s="7" t="s">
        <v>358</v>
      </c>
      <c r="J24" s="6" t="s">
        <v>370</v>
      </c>
    </row>
    <row r="25" customFormat="false" ht="15" hidden="false" customHeight="false" outlineLevel="0" collapsed="false">
      <c r="A25" s="6" t="s">
        <v>98</v>
      </c>
      <c r="B25" s="7" t="s">
        <v>184</v>
      </c>
      <c r="C25" s="7" t="s">
        <v>168</v>
      </c>
      <c r="D25" s="6" t="n">
        <v>150</v>
      </c>
      <c r="E25" s="6" t="n">
        <v>157</v>
      </c>
      <c r="F25" s="6" t="n">
        <v>107</v>
      </c>
      <c r="G25" s="6" t="n">
        <v>414</v>
      </c>
      <c r="H25" s="6" t="n">
        <v>30</v>
      </c>
      <c r="I25" s="7" t="s">
        <v>358</v>
      </c>
      <c r="J25" s="6" t="s">
        <v>375</v>
      </c>
    </row>
    <row r="26" customFormat="false" ht="15" hidden="false" customHeight="false" outlineLevel="0" collapsed="false">
      <c r="A26" s="6" t="s">
        <v>99</v>
      </c>
      <c r="B26" s="7" t="s">
        <v>186</v>
      </c>
      <c r="C26" s="7" t="s">
        <v>168</v>
      </c>
      <c r="D26" s="6" t="n">
        <v>291</v>
      </c>
      <c r="E26" s="6" t="n">
        <v>66</v>
      </c>
      <c r="F26" s="6" t="n">
        <v>61</v>
      </c>
      <c r="G26" s="6" t="n">
        <v>418</v>
      </c>
      <c r="H26" s="6" t="n">
        <v>150</v>
      </c>
      <c r="I26" s="7" t="s">
        <v>358</v>
      </c>
      <c r="J26" s="6" t="s">
        <v>363</v>
      </c>
    </row>
    <row r="27" customFormat="false" ht="15" hidden="false" customHeight="false" outlineLevel="0" collapsed="false">
      <c r="A27" s="6" t="s">
        <v>100</v>
      </c>
      <c r="B27" s="7" t="s">
        <v>188</v>
      </c>
      <c r="C27" s="7" t="s">
        <v>168</v>
      </c>
      <c r="D27" s="6" t="n">
        <v>549</v>
      </c>
      <c r="E27" s="6" t="n">
        <v>77</v>
      </c>
      <c r="F27" s="6" t="n">
        <v>126</v>
      </c>
      <c r="G27" s="6" t="n">
        <v>752</v>
      </c>
      <c r="H27" s="6" t="n">
        <v>200</v>
      </c>
      <c r="I27" s="7" t="s">
        <v>358</v>
      </c>
      <c r="J27" s="6" t="s">
        <v>376</v>
      </c>
    </row>
    <row r="28" customFormat="false" ht="15" hidden="false" customHeight="false" outlineLevel="0" collapsed="false">
      <c r="A28" s="6" t="s">
        <v>101</v>
      </c>
      <c r="B28" s="7" t="s">
        <v>190</v>
      </c>
      <c r="C28" s="7" t="s">
        <v>168</v>
      </c>
      <c r="D28" s="6" t="n">
        <v>736</v>
      </c>
      <c r="E28" s="6" t="n">
        <v>172</v>
      </c>
      <c r="F28" s="6" t="n">
        <v>133</v>
      </c>
      <c r="G28" s="6" t="n">
        <v>1041</v>
      </c>
      <c r="H28" s="6" t="n">
        <v>50</v>
      </c>
      <c r="I28" s="7" t="s">
        <v>358</v>
      </c>
      <c r="J28" s="6" t="s">
        <v>377</v>
      </c>
    </row>
    <row r="29" customFormat="false" ht="15" hidden="false" customHeight="false" outlineLevel="0" collapsed="false">
      <c r="A29" s="6" t="s">
        <v>102</v>
      </c>
      <c r="B29" s="7" t="s">
        <v>191</v>
      </c>
      <c r="C29" s="7" t="s">
        <v>168</v>
      </c>
      <c r="D29" s="6" t="n">
        <v>741</v>
      </c>
      <c r="E29" s="6" t="n">
        <v>221</v>
      </c>
      <c r="F29" s="6" t="n">
        <v>102</v>
      </c>
      <c r="G29" s="6" t="n">
        <v>1064</v>
      </c>
      <c r="H29" s="6" t="n">
        <v>100</v>
      </c>
      <c r="I29" s="7" t="s">
        <v>358</v>
      </c>
      <c r="J29" s="6" t="s">
        <v>368</v>
      </c>
    </row>
    <row r="30" customFormat="false" ht="15" hidden="false" customHeight="false" outlineLevel="0" collapsed="false">
      <c r="A30" s="6" t="s">
        <v>103</v>
      </c>
      <c r="B30" s="7" t="s">
        <v>193</v>
      </c>
      <c r="C30" s="7" t="s">
        <v>168</v>
      </c>
      <c r="D30" s="6" t="n">
        <v>416</v>
      </c>
      <c r="E30" s="6" t="n">
        <v>12</v>
      </c>
      <c r="F30" s="6" t="n">
        <v>51</v>
      </c>
      <c r="G30" s="6" t="n">
        <v>479</v>
      </c>
      <c r="H30" s="6" t="n">
        <v>50</v>
      </c>
      <c r="I30" s="7" t="s">
        <v>358</v>
      </c>
      <c r="J30" s="6" t="s">
        <v>378</v>
      </c>
    </row>
    <row r="31" customFormat="false" ht="15" hidden="false" customHeight="false" outlineLevel="0" collapsed="false">
      <c r="A31" s="6" t="s">
        <v>104</v>
      </c>
      <c r="B31" s="7" t="s">
        <v>195</v>
      </c>
      <c r="C31" s="7" t="s">
        <v>168</v>
      </c>
      <c r="D31" s="6" t="n">
        <v>646</v>
      </c>
      <c r="E31" s="6" t="n">
        <v>105</v>
      </c>
      <c r="F31" s="6" t="n">
        <v>100</v>
      </c>
      <c r="G31" s="6" t="n">
        <v>851</v>
      </c>
      <c r="H31" s="6" t="n">
        <v>100</v>
      </c>
      <c r="I31" s="7" t="s">
        <v>358</v>
      </c>
      <c r="J31" s="6" t="s">
        <v>379</v>
      </c>
    </row>
    <row r="32" customFormat="false" ht="15" hidden="false" customHeight="false" outlineLevel="0" collapsed="false">
      <c r="A32" s="6" t="s">
        <v>105</v>
      </c>
      <c r="B32" s="7" t="s">
        <v>197</v>
      </c>
      <c r="C32" s="7" t="s">
        <v>168</v>
      </c>
      <c r="D32" s="6" t="n">
        <v>107</v>
      </c>
      <c r="E32" s="6" t="n">
        <v>281</v>
      </c>
      <c r="F32" s="6" t="n">
        <v>39</v>
      </c>
      <c r="G32" s="6" t="n">
        <v>427</v>
      </c>
      <c r="H32" s="6" t="n">
        <v>120</v>
      </c>
      <c r="I32" s="7" t="s">
        <v>358</v>
      </c>
      <c r="J32" s="6" t="s">
        <v>380</v>
      </c>
    </row>
    <row r="33" customFormat="false" ht="15" hidden="false" customHeight="false" outlineLevel="0" collapsed="false">
      <c r="A33" s="6" t="s">
        <v>106</v>
      </c>
      <c r="B33" s="7" t="s">
        <v>199</v>
      </c>
      <c r="C33" s="7" t="s">
        <v>168</v>
      </c>
      <c r="D33" s="6" t="n">
        <v>610</v>
      </c>
      <c r="E33" s="6" t="n">
        <v>183</v>
      </c>
      <c r="F33" s="6" t="n">
        <v>129</v>
      </c>
      <c r="G33" s="6" t="n">
        <v>922</v>
      </c>
      <c r="H33" s="6" t="n">
        <v>120</v>
      </c>
      <c r="I33" s="7" t="s">
        <v>358</v>
      </c>
      <c r="J33" s="6" t="s">
        <v>365</v>
      </c>
    </row>
    <row r="34" customFormat="false" ht="15" hidden="false" customHeight="false" outlineLevel="0" collapsed="false">
      <c r="A34" s="6" t="s">
        <v>107</v>
      </c>
      <c r="B34" s="7" t="s">
        <v>202</v>
      </c>
      <c r="C34" s="7" t="s">
        <v>201</v>
      </c>
      <c r="D34" s="6" t="n">
        <v>776</v>
      </c>
      <c r="E34" s="6" t="n">
        <v>78</v>
      </c>
      <c r="F34" s="6" t="n">
        <v>42</v>
      </c>
      <c r="G34" s="6" t="n">
        <v>896</v>
      </c>
      <c r="H34" s="6" t="n">
        <v>80</v>
      </c>
      <c r="I34" s="7" t="s">
        <v>358</v>
      </c>
      <c r="J34" s="6" t="s">
        <v>375</v>
      </c>
    </row>
    <row r="35" customFormat="false" ht="15" hidden="false" customHeight="false" outlineLevel="0" collapsed="false">
      <c r="A35" s="6" t="s">
        <v>108</v>
      </c>
      <c r="B35" s="7" t="s">
        <v>204</v>
      </c>
      <c r="C35" s="7" t="s">
        <v>201</v>
      </c>
      <c r="D35" s="6" t="n">
        <v>724</v>
      </c>
      <c r="E35" s="6" t="n">
        <v>70</v>
      </c>
      <c r="F35" s="6" t="n">
        <v>17</v>
      </c>
      <c r="G35" s="6" t="n">
        <v>811</v>
      </c>
      <c r="H35" s="6" t="n">
        <v>120</v>
      </c>
      <c r="I35" s="7" t="s">
        <v>358</v>
      </c>
      <c r="J35" s="6" t="s">
        <v>376</v>
      </c>
    </row>
    <row r="36" customFormat="false" ht="15" hidden="false" customHeight="false" outlineLevel="0" collapsed="false">
      <c r="A36" s="6" t="s">
        <v>109</v>
      </c>
      <c r="B36" s="7" t="s">
        <v>205</v>
      </c>
      <c r="C36" s="7" t="s">
        <v>201</v>
      </c>
      <c r="D36" s="6" t="n">
        <v>83</v>
      </c>
      <c r="E36" s="6" t="n">
        <v>0</v>
      </c>
      <c r="F36" s="6" t="n">
        <v>106</v>
      </c>
      <c r="G36" s="6" t="n">
        <v>189</v>
      </c>
      <c r="H36" s="6" t="n">
        <v>200</v>
      </c>
      <c r="I36" s="7" t="s">
        <v>381</v>
      </c>
      <c r="J36" s="6" t="s">
        <v>371</v>
      </c>
    </row>
    <row r="37" customFormat="false" ht="15" hidden="false" customHeight="false" outlineLevel="0" collapsed="false">
      <c r="A37" s="6" t="s">
        <v>110</v>
      </c>
      <c r="B37" s="7" t="s">
        <v>207</v>
      </c>
      <c r="C37" s="7" t="s">
        <v>201</v>
      </c>
      <c r="D37" s="6" t="n">
        <v>284</v>
      </c>
      <c r="E37" s="6" t="n">
        <v>201</v>
      </c>
      <c r="F37" s="6" t="n">
        <v>75</v>
      </c>
      <c r="G37" s="6" t="n">
        <v>560</v>
      </c>
      <c r="H37" s="6" t="n">
        <v>50</v>
      </c>
      <c r="I37" s="7" t="s">
        <v>358</v>
      </c>
      <c r="J37" s="6" t="s">
        <v>365</v>
      </c>
    </row>
    <row r="38" customFormat="false" ht="15" hidden="false" customHeight="false" outlineLevel="0" collapsed="false">
      <c r="A38" s="6" t="s">
        <v>111</v>
      </c>
      <c r="B38" s="7" t="s">
        <v>209</v>
      </c>
      <c r="C38" s="7" t="s">
        <v>201</v>
      </c>
      <c r="D38" s="6" t="n">
        <v>247</v>
      </c>
      <c r="E38" s="6" t="n">
        <v>232</v>
      </c>
      <c r="F38" s="6" t="n">
        <v>4</v>
      </c>
      <c r="G38" s="6" t="n">
        <v>483</v>
      </c>
      <c r="H38" s="6" t="n">
        <v>100</v>
      </c>
      <c r="I38" s="7" t="s">
        <v>358</v>
      </c>
      <c r="J38" s="6" t="s">
        <v>380</v>
      </c>
    </row>
    <row r="39" customFormat="false" ht="15" hidden="false" customHeight="false" outlineLevel="0" collapsed="false">
      <c r="A39" s="6" t="s">
        <v>112</v>
      </c>
      <c r="B39" s="7" t="s">
        <v>211</v>
      </c>
      <c r="C39" s="7" t="s">
        <v>201</v>
      </c>
      <c r="D39" s="6" t="n">
        <v>477</v>
      </c>
      <c r="E39" s="6" t="n">
        <v>208</v>
      </c>
      <c r="F39" s="6" t="n">
        <v>103</v>
      </c>
      <c r="G39" s="6" t="n">
        <v>788</v>
      </c>
      <c r="H39" s="6" t="n">
        <v>80</v>
      </c>
      <c r="I39" s="7" t="s">
        <v>358</v>
      </c>
      <c r="J39" s="6" t="s">
        <v>364</v>
      </c>
    </row>
    <row r="40" customFormat="false" ht="15" hidden="false" customHeight="false" outlineLevel="0" collapsed="false">
      <c r="A40" s="6" t="s">
        <v>113</v>
      </c>
      <c r="B40" s="7" t="s">
        <v>212</v>
      </c>
      <c r="C40" s="7" t="s">
        <v>201</v>
      </c>
      <c r="D40" s="6" t="n">
        <v>730</v>
      </c>
      <c r="E40" s="6" t="n">
        <v>20</v>
      </c>
      <c r="F40" s="6" t="n">
        <v>30</v>
      </c>
      <c r="G40" s="6" t="n">
        <v>780</v>
      </c>
      <c r="H40" s="6" t="n">
        <v>50</v>
      </c>
      <c r="I40" s="7" t="s">
        <v>358</v>
      </c>
      <c r="J40" s="6" t="s">
        <v>382</v>
      </c>
    </row>
    <row r="41" customFormat="false" ht="15" hidden="false" customHeight="false" outlineLevel="0" collapsed="false">
      <c r="A41" s="6" t="s">
        <v>114</v>
      </c>
      <c r="B41" s="7" t="s">
        <v>214</v>
      </c>
      <c r="C41" s="7" t="s">
        <v>201</v>
      </c>
      <c r="D41" s="6" t="n">
        <v>68</v>
      </c>
      <c r="E41" s="6" t="n">
        <v>270</v>
      </c>
      <c r="F41" s="6" t="n">
        <v>24</v>
      </c>
      <c r="G41" s="6" t="n">
        <v>362</v>
      </c>
      <c r="H41" s="6" t="n">
        <v>80</v>
      </c>
      <c r="I41" s="7" t="s">
        <v>358</v>
      </c>
      <c r="J41" s="6" t="s">
        <v>363</v>
      </c>
    </row>
    <row r="42" customFormat="false" ht="15" hidden="false" customHeight="false" outlineLevel="0" collapsed="false">
      <c r="A42" s="6" t="s">
        <v>115</v>
      </c>
      <c r="B42" s="7" t="s">
        <v>216</v>
      </c>
      <c r="C42" s="7" t="s">
        <v>201</v>
      </c>
      <c r="D42" s="6" t="n">
        <v>308</v>
      </c>
      <c r="E42" s="6" t="n">
        <v>48</v>
      </c>
      <c r="F42" s="6" t="n">
        <v>112</v>
      </c>
      <c r="G42" s="6" t="n">
        <v>468</v>
      </c>
      <c r="H42" s="6" t="n">
        <v>200</v>
      </c>
      <c r="I42" s="7" t="s">
        <v>358</v>
      </c>
      <c r="J42" s="6" t="s">
        <v>369</v>
      </c>
    </row>
    <row r="43" customFormat="false" ht="15" hidden="false" customHeight="false" outlineLevel="0" collapsed="false">
      <c r="A43" s="6" t="s">
        <v>116</v>
      </c>
      <c r="B43" s="7" t="s">
        <v>218</v>
      </c>
      <c r="C43" s="7" t="s">
        <v>201</v>
      </c>
      <c r="D43" s="6" t="n">
        <v>233</v>
      </c>
      <c r="E43" s="6" t="n">
        <v>220</v>
      </c>
      <c r="F43" s="6" t="n">
        <v>81</v>
      </c>
      <c r="G43" s="6" t="n">
        <v>534</v>
      </c>
      <c r="H43" s="6" t="n">
        <v>30</v>
      </c>
      <c r="I43" s="7" t="s">
        <v>358</v>
      </c>
      <c r="J43" s="6" t="s">
        <v>370</v>
      </c>
    </row>
    <row r="44" customFormat="false" ht="15" hidden="false" customHeight="false" outlineLevel="0" collapsed="false">
      <c r="A44" s="6" t="s">
        <v>117</v>
      </c>
      <c r="B44" s="7" t="s">
        <v>220</v>
      </c>
      <c r="C44" s="7" t="s">
        <v>201</v>
      </c>
      <c r="D44" s="6" t="n">
        <v>300</v>
      </c>
      <c r="E44" s="6" t="n">
        <v>219</v>
      </c>
      <c r="F44" s="6" t="n">
        <v>81</v>
      </c>
      <c r="G44" s="6" t="n">
        <v>600</v>
      </c>
      <c r="H44" s="6" t="n">
        <v>150</v>
      </c>
      <c r="I44" s="7" t="s">
        <v>358</v>
      </c>
      <c r="J44" s="6" t="s">
        <v>382</v>
      </c>
    </row>
    <row r="45" customFormat="false" ht="15" hidden="false" customHeight="false" outlineLevel="0" collapsed="false">
      <c r="A45" s="6" t="s">
        <v>118</v>
      </c>
      <c r="B45" s="7" t="s">
        <v>222</v>
      </c>
      <c r="C45" s="7" t="s">
        <v>201</v>
      </c>
      <c r="D45" s="6" t="n">
        <v>314</v>
      </c>
      <c r="E45" s="6" t="n">
        <v>14</v>
      </c>
      <c r="F45" s="6" t="n">
        <v>78</v>
      </c>
      <c r="G45" s="6" t="n">
        <v>406</v>
      </c>
      <c r="H45" s="6" t="n">
        <v>150</v>
      </c>
      <c r="I45" s="7" t="s">
        <v>358</v>
      </c>
      <c r="J45" s="6" t="s">
        <v>372</v>
      </c>
    </row>
    <row r="46" customFormat="false" ht="15" hidden="false" customHeight="false" outlineLevel="0" collapsed="false">
      <c r="A46" s="6" t="s">
        <v>119</v>
      </c>
      <c r="B46" s="7" t="s">
        <v>224</v>
      </c>
      <c r="C46" s="7" t="s">
        <v>201</v>
      </c>
      <c r="D46" s="6" t="n">
        <v>295</v>
      </c>
      <c r="E46" s="6" t="n">
        <v>183</v>
      </c>
      <c r="F46" s="6" t="n">
        <v>21</v>
      </c>
      <c r="G46" s="6" t="n">
        <v>499</v>
      </c>
      <c r="H46" s="6" t="n">
        <v>50</v>
      </c>
      <c r="I46" s="7" t="s">
        <v>358</v>
      </c>
      <c r="J46" s="6" t="s">
        <v>372</v>
      </c>
    </row>
    <row r="47" customFormat="false" ht="15" hidden="false" customHeight="false" outlineLevel="0" collapsed="false">
      <c r="A47" s="6" t="s">
        <v>120</v>
      </c>
      <c r="B47" s="7" t="s">
        <v>226</v>
      </c>
      <c r="C47" s="7" t="s">
        <v>201</v>
      </c>
      <c r="D47" s="6" t="n">
        <v>29</v>
      </c>
      <c r="E47" s="6" t="n">
        <v>254</v>
      </c>
      <c r="F47" s="6" t="n">
        <v>128</v>
      </c>
      <c r="G47" s="6" t="n">
        <v>411</v>
      </c>
      <c r="H47" s="6" t="n">
        <v>100</v>
      </c>
      <c r="I47" s="7" t="s">
        <v>358</v>
      </c>
      <c r="J47" s="6" t="s">
        <v>379</v>
      </c>
    </row>
    <row r="48" customFormat="false" ht="15" hidden="false" customHeight="false" outlineLevel="0" collapsed="false">
      <c r="A48" s="6" t="s">
        <v>65</v>
      </c>
      <c r="B48" s="7" t="s">
        <v>229</v>
      </c>
      <c r="C48" s="7" t="s">
        <v>228</v>
      </c>
      <c r="D48" s="6" t="n">
        <v>717</v>
      </c>
      <c r="E48" s="6" t="n">
        <v>175</v>
      </c>
      <c r="F48" s="6" t="n">
        <v>98</v>
      </c>
      <c r="G48" s="6" t="n">
        <v>990</v>
      </c>
      <c r="H48" s="6" t="n">
        <v>200</v>
      </c>
      <c r="I48" s="7" t="s">
        <v>358</v>
      </c>
      <c r="J48" s="6" t="s">
        <v>374</v>
      </c>
    </row>
    <row r="49" customFormat="false" ht="15" hidden="false" customHeight="false" outlineLevel="0" collapsed="false">
      <c r="A49" s="6" t="s">
        <v>66</v>
      </c>
      <c r="B49" s="7" t="s">
        <v>231</v>
      </c>
      <c r="C49" s="7" t="s">
        <v>228</v>
      </c>
      <c r="D49" s="6" t="n">
        <v>72</v>
      </c>
      <c r="E49" s="6" t="n">
        <v>291</v>
      </c>
      <c r="F49" s="6" t="n">
        <v>96</v>
      </c>
      <c r="G49" s="6" t="n">
        <v>459</v>
      </c>
      <c r="H49" s="6" t="n">
        <v>200</v>
      </c>
      <c r="I49" s="7" t="s">
        <v>358</v>
      </c>
      <c r="J49" s="6" t="s">
        <v>382</v>
      </c>
    </row>
    <row r="50" customFormat="false" ht="15" hidden="false" customHeight="false" outlineLevel="0" collapsed="false">
      <c r="A50" s="6" t="s">
        <v>67</v>
      </c>
      <c r="B50" s="7" t="s">
        <v>233</v>
      </c>
      <c r="C50" s="7" t="s">
        <v>228</v>
      </c>
      <c r="D50" s="6" t="n">
        <v>252</v>
      </c>
      <c r="E50" s="6" t="n">
        <v>284</v>
      </c>
      <c r="F50" s="6" t="n">
        <v>41</v>
      </c>
      <c r="G50" s="6" t="n">
        <v>577</v>
      </c>
      <c r="H50" s="6" t="n">
        <v>120</v>
      </c>
      <c r="I50" s="7" t="s">
        <v>358</v>
      </c>
      <c r="J50" s="6" t="s">
        <v>361</v>
      </c>
    </row>
    <row r="51" customFormat="false" ht="15" hidden="false" customHeight="false" outlineLevel="0" collapsed="false">
      <c r="A51" s="6" t="s">
        <v>68</v>
      </c>
      <c r="B51" s="7" t="s">
        <v>235</v>
      </c>
      <c r="C51" s="7" t="s">
        <v>228</v>
      </c>
      <c r="D51" s="6" t="n">
        <v>23</v>
      </c>
      <c r="E51" s="6" t="n">
        <v>200</v>
      </c>
      <c r="F51" s="6" t="n">
        <v>124</v>
      </c>
      <c r="G51" s="6" t="n">
        <v>347</v>
      </c>
      <c r="H51" s="6" t="n">
        <v>30</v>
      </c>
      <c r="I51" s="7" t="s">
        <v>358</v>
      </c>
      <c r="J51" s="6" t="s">
        <v>369</v>
      </c>
    </row>
    <row r="52" customFormat="false" ht="15" hidden="false" customHeight="false" outlineLevel="0" collapsed="false">
      <c r="A52" s="6" t="s">
        <v>69</v>
      </c>
      <c r="B52" s="7" t="s">
        <v>237</v>
      </c>
      <c r="C52" s="7" t="s">
        <v>228</v>
      </c>
      <c r="D52" s="6" t="n">
        <v>686</v>
      </c>
      <c r="E52" s="6" t="n">
        <v>206</v>
      </c>
      <c r="F52" s="6" t="n">
        <v>95</v>
      </c>
      <c r="G52" s="6" t="n">
        <v>987</v>
      </c>
      <c r="H52" s="6" t="n">
        <v>120</v>
      </c>
      <c r="I52" s="7" t="s">
        <v>358</v>
      </c>
      <c r="J52" s="6" t="s">
        <v>377</v>
      </c>
    </row>
    <row r="53" customFormat="false" ht="15" hidden="false" customHeight="false" outlineLevel="0" collapsed="false">
      <c r="A53" s="6" t="s">
        <v>70</v>
      </c>
      <c r="B53" s="7" t="s">
        <v>239</v>
      </c>
      <c r="C53" s="7" t="s">
        <v>228</v>
      </c>
      <c r="D53" s="6" t="n">
        <v>320</v>
      </c>
      <c r="E53" s="6" t="n">
        <v>42</v>
      </c>
      <c r="F53" s="6" t="n">
        <v>10</v>
      </c>
      <c r="G53" s="6" t="n">
        <v>372</v>
      </c>
      <c r="H53" s="6" t="n">
        <v>30</v>
      </c>
      <c r="I53" s="7" t="s">
        <v>358</v>
      </c>
      <c r="J53" s="6" t="s">
        <v>366</v>
      </c>
    </row>
    <row r="54" customFormat="false" ht="15" hidden="false" customHeight="false" outlineLevel="0" collapsed="false">
      <c r="A54" s="6" t="s">
        <v>71</v>
      </c>
      <c r="B54" s="7" t="s">
        <v>240</v>
      </c>
      <c r="C54" s="7" t="s">
        <v>228</v>
      </c>
      <c r="D54" s="6" t="n">
        <v>758</v>
      </c>
      <c r="E54" s="6" t="n">
        <v>117</v>
      </c>
      <c r="F54" s="6" t="n">
        <v>97</v>
      </c>
      <c r="G54" s="6" t="n">
        <v>972</v>
      </c>
      <c r="H54" s="6" t="n">
        <v>120</v>
      </c>
      <c r="I54" s="7" t="s">
        <v>358</v>
      </c>
      <c r="J54" s="6" t="s">
        <v>380</v>
      </c>
    </row>
    <row r="55" customFormat="false" ht="15" hidden="false" customHeight="false" outlineLevel="0" collapsed="false">
      <c r="A55" s="6" t="s">
        <v>72</v>
      </c>
      <c r="B55" s="7" t="s">
        <v>242</v>
      </c>
      <c r="C55" s="7" t="s">
        <v>228</v>
      </c>
      <c r="D55" s="6" t="n">
        <v>303</v>
      </c>
      <c r="E55" s="6" t="n">
        <v>4</v>
      </c>
      <c r="F55" s="6" t="n">
        <v>63</v>
      </c>
      <c r="G55" s="6" t="n">
        <v>370</v>
      </c>
      <c r="H55" s="6" t="n">
        <v>100</v>
      </c>
      <c r="I55" s="7" t="s">
        <v>358</v>
      </c>
      <c r="J55" s="6" t="s">
        <v>364</v>
      </c>
    </row>
    <row r="56" customFormat="false" ht="15" hidden="false" customHeight="false" outlineLevel="0" collapsed="false">
      <c r="A56" s="6" t="s">
        <v>73</v>
      </c>
      <c r="B56" s="7" t="s">
        <v>244</v>
      </c>
      <c r="C56" s="7" t="s">
        <v>228</v>
      </c>
      <c r="D56" s="6" t="n">
        <v>481</v>
      </c>
      <c r="E56" s="6" t="n">
        <v>263</v>
      </c>
      <c r="F56" s="6" t="n">
        <v>87</v>
      </c>
      <c r="G56" s="6" t="n">
        <v>831</v>
      </c>
      <c r="H56" s="6" t="n">
        <v>150</v>
      </c>
      <c r="I56" s="7" t="s">
        <v>358</v>
      </c>
      <c r="J56" s="6" t="s">
        <v>383</v>
      </c>
    </row>
    <row r="57" customFormat="false" ht="15" hidden="false" customHeight="false" outlineLevel="0" collapsed="false">
      <c r="A57" s="6" t="s">
        <v>74</v>
      </c>
      <c r="B57" s="7" t="s">
        <v>246</v>
      </c>
      <c r="C57" s="7" t="s">
        <v>228</v>
      </c>
      <c r="D57" s="6" t="n">
        <v>787</v>
      </c>
      <c r="E57" s="6" t="n">
        <v>264</v>
      </c>
      <c r="F57" s="6" t="n">
        <v>150</v>
      </c>
      <c r="G57" s="6" t="n">
        <v>1201</v>
      </c>
      <c r="H57" s="6" t="n">
        <v>30</v>
      </c>
      <c r="I57" s="7" t="s">
        <v>358</v>
      </c>
      <c r="J57" s="6" t="s">
        <v>369</v>
      </c>
    </row>
    <row r="58" customFormat="false" ht="15" hidden="false" customHeight="false" outlineLevel="0" collapsed="false">
      <c r="A58" s="6" t="s">
        <v>75</v>
      </c>
      <c r="B58" s="7" t="s">
        <v>248</v>
      </c>
      <c r="C58" s="7" t="s">
        <v>228</v>
      </c>
      <c r="D58" s="6" t="n">
        <v>711</v>
      </c>
      <c r="E58" s="6" t="n">
        <v>295</v>
      </c>
      <c r="F58" s="6" t="n">
        <v>108</v>
      </c>
      <c r="G58" s="6" t="n">
        <v>1114</v>
      </c>
      <c r="H58" s="6" t="n">
        <v>100</v>
      </c>
      <c r="I58" s="7" t="s">
        <v>358</v>
      </c>
      <c r="J58" s="6" t="s">
        <v>384</v>
      </c>
    </row>
    <row r="59" customFormat="false" ht="15" hidden="false" customHeight="false" outlineLevel="0" collapsed="false">
      <c r="A59" s="6" t="s">
        <v>76</v>
      </c>
      <c r="B59" s="7" t="s">
        <v>249</v>
      </c>
      <c r="C59" s="7" t="s">
        <v>228</v>
      </c>
      <c r="D59" s="6" t="n">
        <v>18</v>
      </c>
      <c r="E59" s="6" t="n">
        <v>27</v>
      </c>
      <c r="F59" s="6" t="n">
        <v>27</v>
      </c>
      <c r="G59" s="6" t="n">
        <v>72</v>
      </c>
      <c r="H59" s="6" t="n">
        <v>30</v>
      </c>
      <c r="I59" s="7" t="s">
        <v>358</v>
      </c>
      <c r="J59" s="6" t="s">
        <v>377</v>
      </c>
    </row>
    <row r="60" customFormat="false" ht="15" hidden="false" customHeight="false" outlineLevel="0" collapsed="false">
      <c r="A60" s="6" t="s">
        <v>13</v>
      </c>
      <c r="B60" s="7" t="s">
        <v>252</v>
      </c>
      <c r="C60" s="7" t="s">
        <v>251</v>
      </c>
      <c r="D60" s="6" t="n">
        <v>494</v>
      </c>
      <c r="E60" s="6" t="n">
        <v>150</v>
      </c>
      <c r="F60" s="6" t="n">
        <v>51</v>
      </c>
      <c r="G60" s="6" t="n">
        <v>695</v>
      </c>
      <c r="H60" s="6" t="n">
        <v>80</v>
      </c>
      <c r="I60" s="7" t="s">
        <v>358</v>
      </c>
      <c r="J60" s="6" t="s">
        <v>385</v>
      </c>
    </row>
    <row r="61" customFormat="false" ht="15" hidden="false" customHeight="false" outlineLevel="0" collapsed="false">
      <c r="A61" s="6" t="s">
        <v>14</v>
      </c>
      <c r="B61" s="7" t="s">
        <v>254</v>
      </c>
      <c r="C61" s="7" t="s">
        <v>251</v>
      </c>
      <c r="D61" s="6" t="n">
        <v>289</v>
      </c>
      <c r="E61" s="6" t="n">
        <v>112</v>
      </c>
      <c r="F61" s="6" t="n">
        <v>119</v>
      </c>
      <c r="G61" s="6" t="n">
        <v>520</v>
      </c>
      <c r="H61" s="6" t="n">
        <v>120</v>
      </c>
      <c r="I61" s="7" t="s">
        <v>358</v>
      </c>
      <c r="J61" s="6" t="s">
        <v>371</v>
      </c>
    </row>
    <row r="62" customFormat="false" ht="15" hidden="false" customHeight="false" outlineLevel="0" collapsed="false">
      <c r="A62" s="6" t="s">
        <v>15</v>
      </c>
      <c r="B62" s="7" t="s">
        <v>256</v>
      </c>
      <c r="C62" s="7" t="s">
        <v>251</v>
      </c>
      <c r="D62" s="6" t="n">
        <v>192</v>
      </c>
      <c r="E62" s="6" t="n">
        <v>170</v>
      </c>
      <c r="F62" s="6" t="n">
        <v>33</v>
      </c>
      <c r="G62" s="6" t="n">
        <v>395</v>
      </c>
      <c r="H62" s="6" t="n">
        <v>200</v>
      </c>
      <c r="I62" s="7" t="s">
        <v>358</v>
      </c>
      <c r="J62" s="6" t="s">
        <v>366</v>
      </c>
    </row>
    <row r="63" customFormat="false" ht="15" hidden="false" customHeight="false" outlineLevel="0" collapsed="false">
      <c r="A63" s="6" t="s">
        <v>16</v>
      </c>
      <c r="B63" s="7" t="s">
        <v>258</v>
      </c>
      <c r="C63" s="7" t="s">
        <v>251</v>
      </c>
      <c r="D63" s="6" t="n">
        <v>388</v>
      </c>
      <c r="E63" s="6" t="n">
        <v>180</v>
      </c>
      <c r="F63" s="6" t="n">
        <v>15</v>
      </c>
      <c r="G63" s="6" t="n">
        <v>583</v>
      </c>
      <c r="H63" s="6" t="n">
        <v>50</v>
      </c>
      <c r="I63" s="7" t="s">
        <v>358</v>
      </c>
      <c r="J63" s="6" t="s">
        <v>369</v>
      </c>
    </row>
    <row r="64" customFormat="false" ht="15" hidden="false" customHeight="false" outlineLevel="0" collapsed="false">
      <c r="A64" s="6" t="s">
        <v>17</v>
      </c>
      <c r="B64" s="7" t="s">
        <v>260</v>
      </c>
      <c r="C64" s="7" t="s">
        <v>251</v>
      </c>
      <c r="D64" s="6" t="n">
        <v>146</v>
      </c>
      <c r="E64" s="6" t="n">
        <v>216</v>
      </c>
      <c r="F64" s="6" t="n">
        <v>97</v>
      </c>
      <c r="G64" s="6" t="n">
        <v>459</v>
      </c>
      <c r="H64" s="6" t="n">
        <v>200</v>
      </c>
      <c r="I64" s="7" t="s">
        <v>358</v>
      </c>
      <c r="J64" s="6" t="s">
        <v>383</v>
      </c>
    </row>
    <row r="65" customFormat="false" ht="15" hidden="false" customHeight="false" outlineLevel="0" collapsed="false">
      <c r="A65" s="6" t="s">
        <v>18</v>
      </c>
      <c r="B65" s="7" t="s">
        <v>262</v>
      </c>
      <c r="C65" s="7" t="s">
        <v>251</v>
      </c>
      <c r="D65" s="6" t="n">
        <v>201</v>
      </c>
      <c r="E65" s="6" t="n">
        <v>20</v>
      </c>
      <c r="F65" s="6" t="n">
        <v>149</v>
      </c>
      <c r="G65" s="6" t="n">
        <v>370</v>
      </c>
      <c r="H65" s="6" t="n">
        <v>120</v>
      </c>
      <c r="I65" s="7" t="s">
        <v>358</v>
      </c>
      <c r="J65" s="6" t="s">
        <v>379</v>
      </c>
    </row>
    <row r="66" customFormat="false" ht="15" hidden="false" customHeight="false" outlineLevel="0" collapsed="false">
      <c r="A66" s="6" t="s">
        <v>19</v>
      </c>
      <c r="B66" s="7" t="s">
        <v>264</v>
      </c>
      <c r="C66" s="7" t="s">
        <v>251</v>
      </c>
      <c r="D66" s="6" t="n">
        <v>792</v>
      </c>
      <c r="E66" s="6" t="n">
        <v>257</v>
      </c>
      <c r="F66" s="6" t="n">
        <v>108</v>
      </c>
      <c r="G66" s="6" t="n">
        <v>1157</v>
      </c>
      <c r="H66" s="6" t="n">
        <v>50</v>
      </c>
      <c r="I66" s="7" t="s">
        <v>358</v>
      </c>
      <c r="J66" s="6" t="s">
        <v>371</v>
      </c>
    </row>
    <row r="67" customFormat="false" ht="15" hidden="false" customHeight="false" outlineLevel="0" collapsed="false">
      <c r="A67" s="6" t="s">
        <v>20</v>
      </c>
      <c r="B67" s="7" t="s">
        <v>266</v>
      </c>
      <c r="C67" s="7" t="s">
        <v>251</v>
      </c>
      <c r="D67" s="6" t="n">
        <v>782</v>
      </c>
      <c r="E67" s="6" t="n">
        <v>108</v>
      </c>
      <c r="F67" s="6" t="n">
        <v>143</v>
      </c>
      <c r="G67" s="6" t="n">
        <v>1033</v>
      </c>
      <c r="H67" s="6" t="n">
        <v>200</v>
      </c>
      <c r="I67" s="7" t="s">
        <v>358</v>
      </c>
      <c r="J67" s="6" t="s">
        <v>367</v>
      </c>
    </row>
    <row r="68" customFormat="false" ht="15" hidden="false" customHeight="false" outlineLevel="0" collapsed="false">
      <c r="A68" s="6" t="s">
        <v>21</v>
      </c>
      <c r="B68" s="7" t="s">
        <v>268</v>
      </c>
      <c r="C68" s="7" t="s">
        <v>251</v>
      </c>
      <c r="D68" s="6" t="n">
        <v>142</v>
      </c>
      <c r="E68" s="6" t="n">
        <v>205</v>
      </c>
      <c r="F68" s="6" t="n">
        <v>31</v>
      </c>
      <c r="G68" s="6" t="n">
        <v>378</v>
      </c>
      <c r="H68" s="6" t="n">
        <v>150</v>
      </c>
      <c r="I68" s="7" t="s">
        <v>358</v>
      </c>
      <c r="J68" s="6" t="s">
        <v>386</v>
      </c>
    </row>
    <row r="69" customFormat="false" ht="15" hidden="false" customHeight="false" outlineLevel="0" collapsed="false">
      <c r="A69" s="6" t="s">
        <v>22</v>
      </c>
      <c r="B69" s="7" t="s">
        <v>270</v>
      </c>
      <c r="C69" s="7" t="s">
        <v>251</v>
      </c>
      <c r="D69" s="6" t="n">
        <v>529</v>
      </c>
      <c r="E69" s="6" t="n">
        <v>8</v>
      </c>
      <c r="F69" s="6" t="n">
        <v>89</v>
      </c>
      <c r="G69" s="6" t="n">
        <v>626</v>
      </c>
      <c r="H69" s="6" t="n">
        <v>50</v>
      </c>
      <c r="I69" s="7" t="s">
        <v>358</v>
      </c>
      <c r="J69" s="6" t="s">
        <v>372</v>
      </c>
    </row>
    <row r="70" customFormat="false" ht="15" hidden="false" customHeight="false" outlineLevel="0" collapsed="false">
      <c r="A70" s="6" t="s">
        <v>23</v>
      </c>
      <c r="B70" s="7" t="s">
        <v>272</v>
      </c>
      <c r="C70" s="7" t="s">
        <v>251</v>
      </c>
      <c r="D70" s="6" t="n">
        <v>251</v>
      </c>
      <c r="E70" s="6" t="n">
        <v>199</v>
      </c>
      <c r="F70" s="6" t="n">
        <v>5</v>
      </c>
      <c r="G70" s="6" t="n">
        <v>455</v>
      </c>
      <c r="H70" s="6" t="n">
        <v>150</v>
      </c>
      <c r="I70" s="7" t="s">
        <v>358</v>
      </c>
      <c r="J70" s="6" t="s">
        <v>378</v>
      </c>
    </row>
    <row r="71" customFormat="false" ht="15" hidden="false" customHeight="false" outlineLevel="0" collapsed="false">
      <c r="A71" s="6" t="s">
        <v>24</v>
      </c>
      <c r="B71" s="7" t="s">
        <v>273</v>
      </c>
      <c r="C71" s="7" t="s">
        <v>251</v>
      </c>
      <c r="D71" s="6" t="n">
        <v>683</v>
      </c>
      <c r="E71" s="6" t="n">
        <v>250</v>
      </c>
      <c r="F71" s="6" t="n">
        <v>120</v>
      </c>
      <c r="G71" s="6" t="n">
        <v>1053</v>
      </c>
      <c r="H71" s="6" t="n">
        <v>120</v>
      </c>
      <c r="I71" s="7" t="s">
        <v>358</v>
      </c>
      <c r="J71" s="6" t="s">
        <v>360</v>
      </c>
    </row>
    <row r="72" customFormat="false" ht="15" hidden="false" customHeight="false" outlineLevel="0" collapsed="false">
      <c r="A72" s="6" t="s">
        <v>77</v>
      </c>
      <c r="B72" s="7" t="s">
        <v>276</v>
      </c>
      <c r="C72" s="7" t="s">
        <v>275</v>
      </c>
      <c r="D72" s="6" t="n">
        <v>492</v>
      </c>
      <c r="E72" s="6" t="n">
        <v>56</v>
      </c>
      <c r="F72" s="6" t="n">
        <v>9</v>
      </c>
      <c r="G72" s="6" t="n">
        <v>557</v>
      </c>
      <c r="H72" s="6" t="n">
        <v>120</v>
      </c>
      <c r="I72" s="7" t="s">
        <v>358</v>
      </c>
      <c r="J72" s="6" t="s">
        <v>382</v>
      </c>
    </row>
    <row r="73" customFormat="false" ht="15" hidden="false" customHeight="false" outlineLevel="0" collapsed="false">
      <c r="A73" s="6" t="s">
        <v>78</v>
      </c>
      <c r="B73" s="7" t="s">
        <v>278</v>
      </c>
      <c r="C73" s="7" t="s">
        <v>275</v>
      </c>
      <c r="D73" s="6" t="n">
        <v>173</v>
      </c>
      <c r="E73" s="6" t="n">
        <v>244</v>
      </c>
      <c r="F73" s="6" t="n">
        <v>70</v>
      </c>
      <c r="G73" s="6" t="n">
        <v>487</v>
      </c>
      <c r="H73" s="6" t="n">
        <v>30</v>
      </c>
      <c r="I73" s="7" t="s">
        <v>358</v>
      </c>
      <c r="J73" s="6" t="s">
        <v>378</v>
      </c>
    </row>
    <row r="74" customFormat="false" ht="15" hidden="false" customHeight="false" outlineLevel="0" collapsed="false">
      <c r="A74" s="6" t="s">
        <v>79</v>
      </c>
      <c r="B74" s="7" t="s">
        <v>280</v>
      </c>
      <c r="C74" s="7" t="s">
        <v>275</v>
      </c>
      <c r="D74" s="6" t="n">
        <v>110</v>
      </c>
      <c r="E74" s="6" t="n">
        <v>291</v>
      </c>
      <c r="F74" s="6" t="n">
        <v>44</v>
      </c>
      <c r="G74" s="6" t="n">
        <v>445</v>
      </c>
      <c r="H74" s="6" t="n">
        <v>100</v>
      </c>
      <c r="I74" s="7" t="s">
        <v>358</v>
      </c>
      <c r="J74" s="6" t="s">
        <v>379</v>
      </c>
    </row>
    <row r="75" customFormat="false" ht="15" hidden="false" customHeight="false" outlineLevel="0" collapsed="false">
      <c r="A75" s="6" t="s">
        <v>80</v>
      </c>
      <c r="B75" s="7" t="s">
        <v>282</v>
      </c>
      <c r="C75" s="7" t="s">
        <v>275</v>
      </c>
      <c r="D75" s="6" t="n">
        <v>383</v>
      </c>
      <c r="E75" s="6" t="n">
        <v>156</v>
      </c>
      <c r="F75" s="6" t="n">
        <v>23</v>
      </c>
      <c r="G75" s="6" t="n">
        <v>562</v>
      </c>
      <c r="H75" s="6" t="n">
        <v>150</v>
      </c>
      <c r="I75" s="7" t="s">
        <v>358</v>
      </c>
      <c r="J75" s="6" t="s">
        <v>383</v>
      </c>
    </row>
    <row r="76" customFormat="false" ht="15" hidden="false" customHeight="false" outlineLevel="0" collapsed="false">
      <c r="A76" s="6" t="s">
        <v>81</v>
      </c>
      <c r="B76" s="7" t="s">
        <v>284</v>
      </c>
      <c r="C76" s="7" t="s">
        <v>275</v>
      </c>
      <c r="D76" s="6" t="n">
        <v>19</v>
      </c>
      <c r="E76" s="6" t="n">
        <v>271</v>
      </c>
      <c r="F76" s="6" t="n">
        <v>58</v>
      </c>
      <c r="G76" s="6" t="n">
        <v>348</v>
      </c>
      <c r="H76" s="6" t="n">
        <v>50</v>
      </c>
      <c r="I76" s="7" t="s">
        <v>358</v>
      </c>
      <c r="J76" s="6" t="s">
        <v>376</v>
      </c>
    </row>
    <row r="77" customFormat="false" ht="15" hidden="false" customHeight="false" outlineLevel="0" collapsed="false">
      <c r="A77" s="6" t="s">
        <v>82</v>
      </c>
      <c r="B77" s="7" t="s">
        <v>286</v>
      </c>
      <c r="C77" s="7" t="s">
        <v>275</v>
      </c>
      <c r="D77" s="6" t="n">
        <v>123</v>
      </c>
      <c r="E77" s="6" t="n">
        <v>245</v>
      </c>
      <c r="F77" s="6" t="n">
        <v>90</v>
      </c>
      <c r="G77" s="6" t="n">
        <v>458</v>
      </c>
      <c r="H77" s="6" t="n">
        <v>120</v>
      </c>
      <c r="I77" s="7" t="s">
        <v>358</v>
      </c>
      <c r="J77" s="6" t="s">
        <v>379</v>
      </c>
    </row>
    <row r="78" customFormat="false" ht="15" hidden="false" customHeight="false" outlineLevel="0" collapsed="false">
      <c r="A78" s="6" t="s">
        <v>83</v>
      </c>
      <c r="B78" s="7" t="s">
        <v>288</v>
      </c>
      <c r="C78" s="7" t="s">
        <v>275</v>
      </c>
      <c r="D78" s="6" t="n">
        <v>272</v>
      </c>
      <c r="E78" s="6" t="n">
        <v>128</v>
      </c>
      <c r="F78" s="6" t="n">
        <v>107</v>
      </c>
      <c r="G78" s="6" t="n">
        <v>507</v>
      </c>
      <c r="H78" s="6" t="n">
        <v>100</v>
      </c>
      <c r="I78" s="7" t="s">
        <v>358</v>
      </c>
      <c r="J78" s="6" t="s">
        <v>385</v>
      </c>
    </row>
    <row r="79" customFormat="false" ht="15" hidden="false" customHeight="false" outlineLevel="0" collapsed="false">
      <c r="A79" s="6" t="s">
        <v>84</v>
      </c>
      <c r="B79" s="7" t="s">
        <v>290</v>
      </c>
      <c r="C79" s="7" t="s">
        <v>275</v>
      </c>
      <c r="D79" s="6" t="n">
        <v>326</v>
      </c>
      <c r="E79" s="6" t="n">
        <v>59</v>
      </c>
      <c r="F79" s="6" t="n">
        <v>116</v>
      </c>
      <c r="G79" s="6" t="n">
        <v>501</v>
      </c>
      <c r="H79" s="6" t="n">
        <v>100</v>
      </c>
      <c r="I79" s="7" t="s">
        <v>358</v>
      </c>
      <c r="J79" s="6" t="s">
        <v>372</v>
      </c>
    </row>
    <row r="80" customFormat="false" ht="15" hidden="false" customHeight="false" outlineLevel="0" collapsed="false">
      <c r="A80" s="6" t="s">
        <v>85</v>
      </c>
      <c r="B80" s="7" t="s">
        <v>292</v>
      </c>
      <c r="C80" s="7" t="s">
        <v>275</v>
      </c>
      <c r="D80" s="6" t="n">
        <v>126</v>
      </c>
      <c r="E80" s="6" t="n">
        <v>73</v>
      </c>
      <c r="F80" s="6" t="n">
        <v>11</v>
      </c>
      <c r="G80" s="6" t="n">
        <v>210</v>
      </c>
      <c r="H80" s="6" t="n">
        <v>80</v>
      </c>
      <c r="I80" s="7" t="s">
        <v>358</v>
      </c>
      <c r="J80" s="6" t="s">
        <v>379</v>
      </c>
    </row>
    <row r="81" customFormat="false" ht="15" hidden="false" customHeight="false" outlineLevel="0" collapsed="false">
      <c r="A81" s="6" t="s">
        <v>86</v>
      </c>
      <c r="B81" s="7" t="s">
        <v>294</v>
      </c>
      <c r="C81" s="7" t="s">
        <v>275</v>
      </c>
      <c r="D81" s="6" t="n">
        <v>17</v>
      </c>
      <c r="E81" s="6" t="n">
        <v>13</v>
      </c>
      <c r="F81" s="6" t="n">
        <v>81</v>
      </c>
      <c r="G81" s="6" t="n">
        <v>111</v>
      </c>
      <c r="H81" s="6" t="n">
        <v>100</v>
      </c>
      <c r="I81" s="7" t="s">
        <v>358</v>
      </c>
      <c r="J81" s="6" t="s">
        <v>369</v>
      </c>
    </row>
    <row r="82" customFormat="false" ht="15" hidden="false" customHeight="false" outlineLevel="0" collapsed="false">
      <c r="A82" s="6" t="s">
        <v>87</v>
      </c>
      <c r="B82" s="7" t="s">
        <v>296</v>
      </c>
      <c r="C82" s="7" t="s">
        <v>275</v>
      </c>
      <c r="D82" s="6" t="n">
        <v>103</v>
      </c>
      <c r="E82" s="6" t="n">
        <v>278</v>
      </c>
      <c r="F82" s="6" t="n">
        <v>115</v>
      </c>
      <c r="G82" s="6" t="n">
        <v>496</v>
      </c>
      <c r="H82" s="6" t="n">
        <v>50</v>
      </c>
      <c r="I82" s="7" t="s">
        <v>358</v>
      </c>
      <c r="J82" s="6" t="s">
        <v>387</v>
      </c>
    </row>
    <row r="83" customFormat="false" ht="15" hidden="false" customHeight="false" outlineLevel="0" collapsed="false">
      <c r="A83" s="6" t="s">
        <v>88</v>
      </c>
      <c r="B83" s="7" t="s">
        <v>297</v>
      </c>
      <c r="C83" s="7" t="s">
        <v>275</v>
      </c>
      <c r="D83" s="6" t="n">
        <v>256</v>
      </c>
      <c r="E83" s="6" t="n">
        <v>152</v>
      </c>
      <c r="F83" s="6" t="n">
        <v>112</v>
      </c>
      <c r="G83" s="6" t="n">
        <v>520</v>
      </c>
      <c r="H83" s="6" t="n">
        <v>120</v>
      </c>
      <c r="I83" s="7" t="s">
        <v>358</v>
      </c>
      <c r="J83" s="6" t="s">
        <v>369</v>
      </c>
    </row>
    <row r="84" customFormat="false" ht="15" hidden="false" customHeight="false" outlineLevel="0" collapsed="false">
      <c r="A84" s="6" t="s">
        <v>89</v>
      </c>
      <c r="B84" s="7" t="s">
        <v>299</v>
      </c>
      <c r="C84" s="7" t="s">
        <v>275</v>
      </c>
      <c r="D84" s="6" t="n">
        <v>334</v>
      </c>
      <c r="E84" s="6" t="n">
        <v>55</v>
      </c>
      <c r="F84" s="6" t="n">
        <v>134</v>
      </c>
      <c r="G84" s="6" t="n">
        <v>523</v>
      </c>
      <c r="H84" s="6" t="n">
        <v>30</v>
      </c>
      <c r="I84" s="7" t="s">
        <v>358</v>
      </c>
      <c r="J84" s="6" t="s">
        <v>359</v>
      </c>
    </row>
    <row r="85" customFormat="false" ht="15" hidden="false" customHeight="false" outlineLevel="0" collapsed="false">
      <c r="A85" s="6" t="s">
        <v>90</v>
      </c>
      <c r="B85" s="7" t="s">
        <v>301</v>
      </c>
      <c r="C85" s="7" t="s">
        <v>275</v>
      </c>
      <c r="D85" s="6" t="n">
        <v>570</v>
      </c>
      <c r="E85" s="6" t="n">
        <v>77</v>
      </c>
      <c r="F85" s="6" t="n">
        <v>43</v>
      </c>
      <c r="G85" s="6" t="n">
        <v>690</v>
      </c>
      <c r="H85" s="6" t="n">
        <v>50</v>
      </c>
      <c r="I85" s="7" t="s">
        <v>358</v>
      </c>
      <c r="J85" s="6" t="s">
        <v>386</v>
      </c>
    </row>
    <row r="86" customFormat="false" ht="15" hidden="false" customHeight="false" outlineLevel="0" collapsed="false">
      <c r="A86" s="6" t="s">
        <v>25</v>
      </c>
      <c r="B86" s="7" t="s">
        <v>304</v>
      </c>
      <c r="C86" s="7" t="s">
        <v>303</v>
      </c>
      <c r="D86" s="6" t="n">
        <v>577</v>
      </c>
      <c r="E86" s="6" t="n">
        <v>255</v>
      </c>
      <c r="F86" s="6" t="n">
        <v>135</v>
      </c>
      <c r="G86" s="6" t="n">
        <v>967</v>
      </c>
      <c r="H86" s="6" t="n">
        <v>150</v>
      </c>
      <c r="I86" s="7" t="s">
        <v>358</v>
      </c>
      <c r="J86" s="6" t="s">
        <v>384</v>
      </c>
    </row>
    <row r="87" customFormat="false" ht="15" hidden="false" customHeight="false" outlineLevel="0" collapsed="false">
      <c r="A87" s="6" t="s">
        <v>26</v>
      </c>
      <c r="B87" s="7" t="s">
        <v>306</v>
      </c>
      <c r="C87" s="7" t="s">
        <v>303</v>
      </c>
      <c r="D87" s="6" t="n">
        <v>590</v>
      </c>
      <c r="E87" s="6" t="n">
        <v>41</v>
      </c>
      <c r="F87" s="6" t="n">
        <v>40</v>
      </c>
      <c r="G87" s="6" t="n">
        <v>671</v>
      </c>
      <c r="H87" s="6" t="n">
        <v>200</v>
      </c>
      <c r="I87" s="7" t="s">
        <v>358</v>
      </c>
      <c r="J87" s="6" t="s">
        <v>364</v>
      </c>
    </row>
    <row r="88" customFormat="false" ht="15" hidden="false" customHeight="false" outlineLevel="0" collapsed="false">
      <c r="A88" s="6" t="s">
        <v>27</v>
      </c>
      <c r="B88" s="7" t="s">
        <v>308</v>
      </c>
      <c r="C88" s="7" t="s">
        <v>303</v>
      </c>
      <c r="D88" s="6" t="n">
        <v>213</v>
      </c>
      <c r="E88" s="6" t="n">
        <v>89</v>
      </c>
      <c r="F88" s="6" t="n">
        <v>83</v>
      </c>
      <c r="G88" s="6" t="n">
        <v>385</v>
      </c>
      <c r="H88" s="6" t="n">
        <v>120</v>
      </c>
      <c r="I88" s="7" t="s">
        <v>358</v>
      </c>
      <c r="J88" s="6" t="s">
        <v>382</v>
      </c>
    </row>
    <row r="89" customFormat="false" ht="15" hidden="false" customHeight="false" outlineLevel="0" collapsed="false">
      <c r="A89" s="6" t="s">
        <v>28</v>
      </c>
      <c r="B89" s="7" t="s">
        <v>310</v>
      </c>
      <c r="C89" s="7" t="s">
        <v>303</v>
      </c>
      <c r="D89" s="6" t="n">
        <v>65</v>
      </c>
      <c r="E89" s="6" t="n">
        <v>217</v>
      </c>
      <c r="F89" s="6" t="n">
        <v>9</v>
      </c>
      <c r="G89" s="6" t="n">
        <v>291</v>
      </c>
      <c r="H89" s="6" t="n">
        <v>100</v>
      </c>
      <c r="I89" s="7" t="s">
        <v>358</v>
      </c>
      <c r="J89" s="6" t="s">
        <v>364</v>
      </c>
    </row>
    <row r="90" customFormat="false" ht="15" hidden="false" customHeight="false" outlineLevel="0" collapsed="false">
      <c r="A90" s="6" t="s">
        <v>29</v>
      </c>
      <c r="B90" s="7" t="s">
        <v>312</v>
      </c>
      <c r="C90" s="7" t="s">
        <v>303</v>
      </c>
      <c r="D90" s="6" t="n">
        <v>386</v>
      </c>
      <c r="E90" s="6" t="n">
        <v>91</v>
      </c>
      <c r="F90" s="6" t="n">
        <v>26</v>
      </c>
      <c r="G90" s="6" t="n">
        <v>503</v>
      </c>
      <c r="H90" s="6" t="n">
        <v>150</v>
      </c>
      <c r="I90" s="7" t="s">
        <v>358</v>
      </c>
      <c r="J90" s="6" t="s">
        <v>363</v>
      </c>
    </row>
    <row r="91" customFormat="false" ht="15" hidden="false" customHeight="false" outlineLevel="0" collapsed="false">
      <c r="A91" s="6" t="s">
        <v>30</v>
      </c>
      <c r="B91" s="7" t="s">
        <v>314</v>
      </c>
      <c r="C91" s="7" t="s">
        <v>303</v>
      </c>
      <c r="D91" s="6" t="n">
        <v>612</v>
      </c>
      <c r="E91" s="6" t="n">
        <v>290</v>
      </c>
      <c r="F91" s="6" t="n">
        <v>142</v>
      </c>
      <c r="G91" s="6" t="n">
        <v>1044</v>
      </c>
      <c r="H91" s="6" t="n">
        <v>50</v>
      </c>
      <c r="I91" s="7" t="s">
        <v>358</v>
      </c>
      <c r="J91" s="6" t="s">
        <v>377</v>
      </c>
    </row>
    <row r="92" customFormat="false" ht="15" hidden="false" customHeight="false" outlineLevel="0" collapsed="false">
      <c r="A92" s="6" t="s">
        <v>31</v>
      </c>
      <c r="B92" s="7" t="s">
        <v>316</v>
      </c>
      <c r="C92" s="7" t="s">
        <v>303</v>
      </c>
      <c r="D92" s="6" t="n">
        <v>797</v>
      </c>
      <c r="E92" s="6" t="n">
        <v>17</v>
      </c>
      <c r="F92" s="6" t="n">
        <v>95</v>
      </c>
      <c r="G92" s="6" t="n">
        <v>909</v>
      </c>
      <c r="H92" s="6" t="n">
        <v>100</v>
      </c>
      <c r="I92" s="7" t="s">
        <v>358</v>
      </c>
      <c r="J92" s="6" t="s">
        <v>371</v>
      </c>
    </row>
    <row r="93" customFormat="false" ht="15" hidden="false" customHeight="false" outlineLevel="0" collapsed="false">
      <c r="A93" s="6" t="s">
        <v>32</v>
      </c>
      <c r="B93" s="7" t="s">
        <v>318</v>
      </c>
      <c r="C93" s="7" t="s">
        <v>303</v>
      </c>
      <c r="D93" s="6" t="n">
        <v>206</v>
      </c>
      <c r="E93" s="6" t="n">
        <v>168</v>
      </c>
      <c r="F93" s="6" t="n">
        <v>18</v>
      </c>
      <c r="G93" s="6" t="n">
        <v>392</v>
      </c>
      <c r="H93" s="6" t="n">
        <v>80</v>
      </c>
      <c r="I93" s="7" t="s">
        <v>358</v>
      </c>
      <c r="J93" s="6" t="s">
        <v>385</v>
      </c>
    </row>
    <row r="94" customFormat="false" ht="15" hidden="false" customHeight="false" outlineLevel="0" collapsed="false">
      <c r="A94" s="6" t="s">
        <v>33</v>
      </c>
      <c r="B94" s="7" t="s">
        <v>320</v>
      </c>
      <c r="C94" s="7" t="s">
        <v>303</v>
      </c>
      <c r="D94" s="6" t="n">
        <v>685</v>
      </c>
      <c r="E94" s="6" t="n">
        <v>28</v>
      </c>
      <c r="F94" s="6" t="n">
        <v>11</v>
      </c>
      <c r="G94" s="6" t="n">
        <v>724</v>
      </c>
      <c r="H94" s="6" t="n">
        <v>120</v>
      </c>
      <c r="I94" s="7" t="s">
        <v>358</v>
      </c>
      <c r="J94" s="6" t="s">
        <v>377</v>
      </c>
    </row>
    <row r="95" customFormat="false" ht="15" hidden="false" customHeight="false" outlineLevel="0" collapsed="false">
      <c r="A95" s="6" t="s">
        <v>34</v>
      </c>
      <c r="B95" s="7" t="s">
        <v>322</v>
      </c>
      <c r="C95" s="7" t="s">
        <v>303</v>
      </c>
      <c r="D95" s="6" t="n">
        <v>11</v>
      </c>
      <c r="E95" s="6" t="n">
        <v>23</v>
      </c>
      <c r="F95" s="6" t="n">
        <v>45</v>
      </c>
      <c r="G95" s="6" t="n">
        <v>79</v>
      </c>
      <c r="H95" s="6" t="n">
        <v>120</v>
      </c>
      <c r="I95" s="7" t="s">
        <v>381</v>
      </c>
      <c r="J95" s="6" t="s">
        <v>364</v>
      </c>
    </row>
    <row r="96" customFormat="false" ht="15" hidden="false" customHeight="false" outlineLevel="0" collapsed="false">
      <c r="A96" s="6" t="s">
        <v>35</v>
      </c>
      <c r="B96" s="7" t="s">
        <v>324</v>
      </c>
      <c r="C96" s="7" t="s">
        <v>303</v>
      </c>
      <c r="D96" s="6" t="n">
        <v>53</v>
      </c>
      <c r="E96" s="6" t="n">
        <v>27</v>
      </c>
      <c r="F96" s="6" t="n">
        <v>124</v>
      </c>
      <c r="G96" s="6" t="n">
        <v>204</v>
      </c>
      <c r="H96" s="6" t="n">
        <v>50</v>
      </c>
      <c r="I96" s="7" t="s">
        <v>358</v>
      </c>
      <c r="J96" s="6" t="s">
        <v>383</v>
      </c>
    </row>
    <row r="97" customFormat="false" ht="15" hidden="false" customHeight="false" outlineLevel="0" collapsed="false">
      <c r="A97" s="6" t="s">
        <v>36</v>
      </c>
      <c r="B97" s="7" t="s">
        <v>326</v>
      </c>
      <c r="C97" s="7" t="s">
        <v>303</v>
      </c>
      <c r="D97" s="6" t="n">
        <v>665</v>
      </c>
      <c r="E97" s="6" t="n">
        <v>153</v>
      </c>
      <c r="F97" s="6" t="n">
        <v>43</v>
      </c>
      <c r="G97" s="6" t="n">
        <v>861</v>
      </c>
      <c r="H97" s="6" t="n">
        <v>30</v>
      </c>
      <c r="I97" s="7" t="s">
        <v>358</v>
      </c>
      <c r="J97" s="6" t="s">
        <v>373</v>
      </c>
    </row>
    <row r="98" customFormat="false" ht="15" hidden="false" customHeight="false" outlineLevel="0" collapsed="false">
      <c r="A98" s="6" t="s">
        <v>37</v>
      </c>
      <c r="B98" s="7" t="s">
        <v>329</v>
      </c>
      <c r="C98" s="7" t="s">
        <v>328</v>
      </c>
      <c r="D98" s="6" t="n">
        <v>751</v>
      </c>
      <c r="E98" s="6" t="n">
        <v>250</v>
      </c>
      <c r="F98" s="6" t="n">
        <v>17</v>
      </c>
      <c r="G98" s="6" t="n">
        <v>1018</v>
      </c>
      <c r="H98" s="6" t="n">
        <v>80</v>
      </c>
      <c r="I98" s="7" t="s">
        <v>358</v>
      </c>
      <c r="J98" s="6" t="s">
        <v>360</v>
      </c>
    </row>
    <row r="99" customFormat="false" ht="15" hidden="false" customHeight="false" outlineLevel="0" collapsed="false">
      <c r="A99" s="6" t="s">
        <v>38</v>
      </c>
      <c r="B99" s="7" t="s">
        <v>331</v>
      </c>
      <c r="C99" s="7" t="s">
        <v>328</v>
      </c>
      <c r="D99" s="6" t="n">
        <v>675</v>
      </c>
      <c r="E99" s="6" t="n">
        <v>286</v>
      </c>
      <c r="F99" s="6" t="n">
        <v>38</v>
      </c>
      <c r="G99" s="6" t="n">
        <v>999</v>
      </c>
      <c r="H99" s="6" t="n">
        <v>150</v>
      </c>
      <c r="I99" s="7" t="s">
        <v>358</v>
      </c>
      <c r="J99" s="6" t="s">
        <v>378</v>
      </c>
    </row>
    <row r="100" customFormat="false" ht="15" hidden="false" customHeight="false" outlineLevel="0" collapsed="false">
      <c r="A100" s="6" t="s">
        <v>39</v>
      </c>
      <c r="B100" s="7" t="s">
        <v>332</v>
      </c>
      <c r="C100" s="7" t="s">
        <v>328</v>
      </c>
      <c r="D100" s="6" t="n">
        <v>487</v>
      </c>
      <c r="E100" s="6" t="n">
        <v>194</v>
      </c>
      <c r="F100" s="6" t="n">
        <v>131</v>
      </c>
      <c r="G100" s="6" t="n">
        <v>812</v>
      </c>
      <c r="H100" s="6" t="n">
        <v>150</v>
      </c>
      <c r="I100" s="7" t="s">
        <v>358</v>
      </c>
      <c r="J100" s="6" t="s">
        <v>374</v>
      </c>
    </row>
    <row r="101" customFormat="false" ht="15" hidden="false" customHeight="false" outlineLevel="0" collapsed="false">
      <c r="A101" s="6" t="s">
        <v>40</v>
      </c>
      <c r="B101" s="7" t="s">
        <v>334</v>
      </c>
      <c r="C101" s="7" t="s">
        <v>328</v>
      </c>
      <c r="D101" s="6" t="n">
        <v>111</v>
      </c>
      <c r="E101" s="6" t="n">
        <v>105</v>
      </c>
      <c r="F101" s="6" t="n">
        <v>123</v>
      </c>
      <c r="G101" s="6" t="n">
        <v>339</v>
      </c>
      <c r="H101" s="6" t="n">
        <v>30</v>
      </c>
      <c r="I101" s="7" t="s">
        <v>358</v>
      </c>
      <c r="J101" s="6" t="s">
        <v>380</v>
      </c>
    </row>
    <row r="102" customFormat="false" ht="15" hidden="false" customHeight="false" outlineLevel="0" collapsed="false">
      <c r="A102" s="6" t="s">
        <v>41</v>
      </c>
      <c r="B102" s="7" t="s">
        <v>336</v>
      </c>
      <c r="C102" s="7" t="s">
        <v>328</v>
      </c>
      <c r="D102" s="6" t="n">
        <v>482</v>
      </c>
      <c r="E102" s="6" t="n">
        <v>88</v>
      </c>
      <c r="F102" s="6" t="n">
        <v>120</v>
      </c>
      <c r="G102" s="6" t="n">
        <v>690</v>
      </c>
      <c r="H102" s="6" t="n">
        <v>80</v>
      </c>
      <c r="I102" s="7" t="s">
        <v>358</v>
      </c>
      <c r="J102" s="6" t="s">
        <v>366</v>
      </c>
    </row>
    <row r="103" customFormat="false" ht="15" hidden="false" customHeight="false" outlineLevel="0" collapsed="false">
      <c r="A103" s="6" t="s">
        <v>42</v>
      </c>
      <c r="B103" s="7" t="s">
        <v>338</v>
      </c>
      <c r="C103" s="7" t="s">
        <v>328</v>
      </c>
      <c r="D103" s="6" t="n">
        <v>296</v>
      </c>
      <c r="E103" s="6" t="n">
        <v>185</v>
      </c>
      <c r="F103" s="6" t="n">
        <v>34</v>
      </c>
      <c r="G103" s="6" t="n">
        <v>515</v>
      </c>
      <c r="H103" s="6" t="n">
        <v>120</v>
      </c>
      <c r="I103" s="7" t="s">
        <v>358</v>
      </c>
      <c r="J103" s="6" t="s">
        <v>375</v>
      </c>
    </row>
    <row r="104" customFormat="false" ht="15" hidden="false" customHeight="false" outlineLevel="0" collapsed="false">
      <c r="A104" s="6" t="s">
        <v>43</v>
      </c>
      <c r="B104" s="7" t="s">
        <v>339</v>
      </c>
      <c r="C104" s="7" t="s">
        <v>328</v>
      </c>
      <c r="D104" s="6" t="n">
        <v>418</v>
      </c>
      <c r="E104" s="6" t="n">
        <v>252</v>
      </c>
      <c r="F104" s="6" t="n">
        <v>135</v>
      </c>
      <c r="G104" s="6" t="n">
        <v>805</v>
      </c>
      <c r="H104" s="6" t="n">
        <v>100</v>
      </c>
      <c r="I104" s="7" t="s">
        <v>358</v>
      </c>
      <c r="J104" s="6" t="s">
        <v>374</v>
      </c>
    </row>
    <row r="105" customFormat="false" ht="15" hidden="false" customHeight="false" outlineLevel="0" collapsed="false">
      <c r="A105" s="6" t="s">
        <v>44</v>
      </c>
      <c r="B105" s="7" t="s">
        <v>341</v>
      </c>
      <c r="C105" s="7" t="s">
        <v>328</v>
      </c>
      <c r="D105" s="6" t="n">
        <v>695</v>
      </c>
      <c r="E105" s="6" t="n">
        <v>274</v>
      </c>
      <c r="F105" s="6" t="n">
        <v>134</v>
      </c>
      <c r="G105" s="6" t="n">
        <v>1103</v>
      </c>
      <c r="H105" s="6" t="n">
        <v>120</v>
      </c>
      <c r="I105" s="7" t="s">
        <v>358</v>
      </c>
      <c r="J105" s="6" t="s">
        <v>367</v>
      </c>
    </row>
    <row r="106" customFormat="false" ht="15" hidden="false" customHeight="false" outlineLevel="0" collapsed="false">
      <c r="A106" s="6" t="s">
        <v>45</v>
      </c>
      <c r="B106" s="7" t="s">
        <v>343</v>
      </c>
      <c r="C106" s="7" t="s">
        <v>328</v>
      </c>
      <c r="D106" s="6" t="n">
        <v>457</v>
      </c>
      <c r="E106" s="6" t="n">
        <v>192</v>
      </c>
      <c r="F106" s="6" t="n">
        <v>78</v>
      </c>
      <c r="G106" s="6" t="n">
        <v>727</v>
      </c>
      <c r="H106" s="6" t="n">
        <v>150</v>
      </c>
      <c r="I106" s="7" t="s">
        <v>358</v>
      </c>
      <c r="J106" s="6" t="s">
        <v>372</v>
      </c>
    </row>
    <row r="107" customFormat="false" ht="15" hidden="false" customHeight="false" outlineLevel="0" collapsed="false">
      <c r="A107" s="6" t="s">
        <v>46</v>
      </c>
      <c r="B107" s="7" t="s">
        <v>345</v>
      </c>
      <c r="C107" s="7" t="s">
        <v>328</v>
      </c>
      <c r="D107" s="6" t="n">
        <v>138</v>
      </c>
      <c r="E107" s="6" t="n">
        <v>294</v>
      </c>
      <c r="F107" s="6" t="n">
        <v>121</v>
      </c>
      <c r="G107" s="6" t="n">
        <v>553</v>
      </c>
      <c r="H107" s="6" t="n">
        <v>80</v>
      </c>
      <c r="I107" s="7" t="s">
        <v>358</v>
      </c>
      <c r="J107" s="6" t="s">
        <v>361</v>
      </c>
    </row>
    <row r="108" customFormat="false" ht="15" hidden="false" customHeight="false" outlineLevel="0" collapsed="false">
      <c r="A108" s="6" t="s">
        <v>47</v>
      </c>
      <c r="B108" s="7" t="s">
        <v>347</v>
      </c>
      <c r="C108" s="7" t="s">
        <v>328</v>
      </c>
      <c r="D108" s="6" t="n">
        <v>295</v>
      </c>
      <c r="E108" s="6" t="n">
        <v>230</v>
      </c>
      <c r="F108" s="6" t="n">
        <v>44</v>
      </c>
      <c r="G108" s="6" t="n">
        <v>569</v>
      </c>
      <c r="H108" s="6" t="n">
        <v>100</v>
      </c>
      <c r="I108" s="7" t="s">
        <v>358</v>
      </c>
      <c r="J108" s="6" t="s">
        <v>387</v>
      </c>
    </row>
    <row r="109" customFormat="false" ht="15" hidden="false" customHeight="false" outlineLevel="0" collapsed="false">
      <c r="A109" s="6" t="s">
        <v>48</v>
      </c>
      <c r="B109" s="7" t="s">
        <v>349</v>
      </c>
      <c r="C109" s="7" t="s">
        <v>328</v>
      </c>
      <c r="D109" s="6" t="n">
        <v>547</v>
      </c>
      <c r="E109" s="6" t="n">
        <v>162</v>
      </c>
      <c r="F109" s="6" t="n">
        <v>5</v>
      </c>
      <c r="G109" s="6" t="n">
        <v>714</v>
      </c>
      <c r="H109" s="6" t="n">
        <v>30</v>
      </c>
      <c r="I109" s="7" t="s">
        <v>358</v>
      </c>
      <c r="J109" s="6" t="s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2" min="12" style="0" width="6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5" t="s">
        <v>388</v>
      </c>
      <c r="B1" s="5" t="s">
        <v>0</v>
      </c>
      <c r="C1" s="5" t="s">
        <v>389</v>
      </c>
      <c r="D1" s="5" t="s">
        <v>390</v>
      </c>
      <c r="E1" s="5" t="s">
        <v>391</v>
      </c>
      <c r="F1" s="5" t="s">
        <v>392</v>
      </c>
      <c r="G1" s="5" t="s">
        <v>393</v>
      </c>
      <c r="H1" s="5" t="s">
        <v>394</v>
      </c>
      <c r="I1" s="10" t="s">
        <v>395</v>
      </c>
      <c r="J1" s="10" t="s">
        <v>396</v>
      </c>
      <c r="K1" s="5" t="s">
        <v>397</v>
      </c>
      <c r="L1" s="5" t="s">
        <v>398</v>
      </c>
      <c r="M1" s="5" t="s">
        <v>399</v>
      </c>
    </row>
    <row r="2" customFormat="false" ht="15" hidden="false" customHeight="false" outlineLevel="0" collapsed="false">
      <c r="A2" s="6" t="s">
        <v>400</v>
      </c>
      <c r="B2" s="6" t="s">
        <v>49</v>
      </c>
      <c r="C2" s="6" t="s">
        <v>401</v>
      </c>
      <c r="D2" s="8" t="n">
        <v>8909</v>
      </c>
      <c r="E2" s="11" t="n">
        <v>0</v>
      </c>
      <c r="F2" s="8" t="n">
        <v>8909</v>
      </c>
      <c r="G2" s="9" t="n">
        <v>0.055</v>
      </c>
      <c r="H2" s="8" t="n">
        <v>8419</v>
      </c>
      <c r="I2" s="6" t="n">
        <v>332</v>
      </c>
      <c r="J2" s="8" t="n">
        <v>2957788</v>
      </c>
      <c r="K2" s="6" t="n">
        <v>173</v>
      </c>
      <c r="L2" s="6" t="n">
        <v>4.9</v>
      </c>
      <c r="M2" s="6" t="s">
        <v>402</v>
      </c>
    </row>
    <row r="3" customFormat="false" ht="15" hidden="false" customHeight="false" outlineLevel="0" collapsed="false">
      <c r="A3" s="6" t="s">
        <v>403</v>
      </c>
      <c r="B3" s="6" t="s">
        <v>50</v>
      </c>
      <c r="C3" s="6" t="s">
        <v>404</v>
      </c>
      <c r="D3" s="8" t="n">
        <v>9868</v>
      </c>
      <c r="E3" s="11" t="n">
        <v>0</v>
      </c>
      <c r="F3" s="8" t="n">
        <v>9868</v>
      </c>
      <c r="G3" s="9" t="n">
        <v>0.055</v>
      </c>
      <c r="H3" s="8" t="n">
        <v>9325</v>
      </c>
      <c r="I3" s="6" t="n">
        <v>305</v>
      </c>
      <c r="J3" s="8" t="n">
        <v>3009740</v>
      </c>
      <c r="K3" s="6" t="n">
        <v>236</v>
      </c>
      <c r="L3" s="6" t="n">
        <v>4.3</v>
      </c>
      <c r="M3" s="6" t="s">
        <v>405</v>
      </c>
    </row>
    <row r="4" customFormat="false" ht="15" hidden="false" customHeight="false" outlineLevel="0" collapsed="false">
      <c r="A4" s="6" t="s">
        <v>406</v>
      </c>
      <c r="B4" s="6" t="s">
        <v>51</v>
      </c>
      <c r="C4" s="6" t="s">
        <v>407</v>
      </c>
      <c r="D4" s="8" t="n">
        <v>10166</v>
      </c>
      <c r="E4" s="11" t="n">
        <v>0</v>
      </c>
      <c r="F4" s="8" t="n">
        <v>10166</v>
      </c>
      <c r="G4" s="9" t="n">
        <v>0.055</v>
      </c>
      <c r="H4" s="8" t="n">
        <v>9606</v>
      </c>
      <c r="I4" s="6" t="n">
        <v>379</v>
      </c>
      <c r="J4" s="8" t="n">
        <v>3852914</v>
      </c>
      <c r="K4" s="6" t="n">
        <v>337</v>
      </c>
      <c r="L4" s="6" t="n">
        <v>4.3</v>
      </c>
      <c r="M4" s="6" t="s">
        <v>408</v>
      </c>
    </row>
    <row r="5" customFormat="false" ht="15" hidden="false" customHeight="false" outlineLevel="0" collapsed="false">
      <c r="A5" s="6" t="s">
        <v>409</v>
      </c>
      <c r="B5" s="6" t="s">
        <v>52</v>
      </c>
      <c r="C5" s="6" t="s">
        <v>410</v>
      </c>
      <c r="D5" s="8" t="n">
        <v>9634</v>
      </c>
      <c r="E5" s="11" t="n">
        <v>0</v>
      </c>
      <c r="F5" s="8" t="n">
        <v>9634</v>
      </c>
      <c r="G5" s="9" t="n">
        <v>0.055</v>
      </c>
      <c r="H5" s="8" t="n">
        <v>9104</v>
      </c>
      <c r="I5" s="6" t="n">
        <v>109</v>
      </c>
      <c r="J5" s="8" t="n">
        <v>1050106</v>
      </c>
      <c r="K5" s="6" t="n">
        <v>128</v>
      </c>
      <c r="L5" s="6" t="n">
        <v>4.8</v>
      </c>
      <c r="M5" s="6" t="s">
        <v>411</v>
      </c>
    </row>
    <row r="6" customFormat="false" ht="15" hidden="false" customHeight="false" outlineLevel="0" collapsed="false">
      <c r="A6" s="6" t="s">
        <v>412</v>
      </c>
      <c r="B6" s="6" t="s">
        <v>53</v>
      </c>
      <c r="C6" s="6" t="s">
        <v>413</v>
      </c>
      <c r="D6" s="8" t="n">
        <v>10301</v>
      </c>
      <c r="E6" s="11" t="n">
        <v>0</v>
      </c>
      <c r="F6" s="8" t="n">
        <v>10301</v>
      </c>
      <c r="G6" s="9" t="n">
        <v>0.055</v>
      </c>
      <c r="H6" s="8" t="n">
        <v>9734</v>
      </c>
      <c r="I6" s="6" t="n">
        <v>371</v>
      </c>
      <c r="J6" s="8" t="n">
        <v>3821671</v>
      </c>
      <c r="K6" s="6" t="n">
        <v>130</v>
      </c>
      <c r="L6" s="6" t="n">
        <v>4.1</v>
      </c>
      <c r="M6" s="6" t="s">
        <v>414</v>
      </c>
    </row>
    <row r="7" customFormat="false" ht="15" hidden="false" customHeight="false" outlineLevel="0" collapsed="false">
      <c r="A7" s="6" t="s">
        <v>415</v>
      </c>
      <c r="B7" s="6" t="s">
        <v>54</v>
      </c>
      <c r="C7" s="6" t="s">
        <v>416</v>
      </c>
      <c r="D7" s="8" t="n">
        <v>8839</v>
      </c>
      <c r="E7" s="11" t="n">
        <v>0</v>
      </c>
      <c r="F7" s="8" t="n">
        <v>8839</v>
      </c>
      <c r="G7" s="9" t="n">
        <v>0.055</v>
      </c>
      <c r="H7" s="8" t="n">
        <v>8352</v>
      </c>
      <c r="I7" s="6" t="n">
        <v>358</v>
      </c>
      <c r="J7" s="8" t="n">
        <v>3164362</v>
      </c>
      <c r="K7" s="6" t="n">
        <v>206</v>
      </c>
      <c r="L7" s="6" t="n">
        <v>4.7</v>
      </c>
      <c r="M7" s="6" t="s">
        <v>417</v>
      </c>
    </row>
    <row r="8" customFormat="false" ht="15" hidden="false" customHeight="false" outlineLevel="0" collapsed="false">
      <c r="A8" s="6" t="s">
        <v>418</v>
      </c>
      <c r="B8" s="6" t="s">
        <v>55</v>
      </c>
      <c r="C8" s="6" t="s">
        <v>419</v>
      </c>
      <c r="D8" s="8" t="n">
        <v>9782</v>
      </c>
      <c r="E8" s="11" t="n">
        <v>0</v>
      </c>
      <c r="F8" s="8" t="n">
        <v>9782</v>
      </c>
      <c r="G8" s="9" t="n">
        <v>0.055</v>
      </c>
      <c r="H8" s="8" t="n">
        <v>9243</v>
      </c>
      <c r="I8" s="6" t="n">
        <v>419</v>
      </c>
      <c r="J8" s="8" t="n">
        <v>4098658</v>
      </c>
      <c r="K8" s="6" t="n">
        <v>344</v>
      </c>
      <c r="L8" s="6" t="n">
        <v>4.5</v>
      </c>
      <c r="M8" s="6" t="s">
        <v>420</v>
      </c>
    </row>
    <row r="9" customFormat="false" ht="15" hidden="false" customHeight="false" outlineLevel="0" collapsed="false">
      <c r="A9" s="6" t="s">
        <v>421</v>
      </c>
      <c r="B9" s="6" t="s">
        <v>56</v>
      </c>
      <c r="C9" s="6" t="s">
        <v>422</v>
      </c>
      <c r="D9" s="8" t="n">
        <v>10245</v>
      </c>
      <c r="E9" s="11" t="n">
        <v>0</v>
      </c>
      <c r="F9" s="8" t="n">
        <v>10245</v>
      </c>
      <c r="G9" s="9" t="n">
        <v>0.055</v>
      </c>
      <c r="H9" s="8" t="n">
        <v>9681</v>
      </c>
      <c r="I9" s="6" t="n">
        <v>148</v>
      </c>
      <c r="J9" s="8" t="n">
        <v>1516260</v>
      </c>
      <c r="K9" s="6" t="n">
        <v>102</v>
      </c>
      <c r="L9" s="6" t="n">
        <v>4.8</v>
      </c>
      <c r="M9" s="6" t="s">
        <v>423</v>
      </c>
    </row>
    <row r="10" customFormat="false" ht="15" hidden="false" customHeight="false" outlineLevel="0" collapsed="false">
      <c r="A10" s="6" t="s">
        <v>424</v>
      </c>
      <c r="B10" s="6" t="s">
        <v>57</v>
      </c>
      <c r="C10" s="6" t="s">
        <v>425</v>
      </c>
      <c r="D10" s="8" t="n">
        <v>10529</v>
      </c>
      <c r="E10" s="11" t="n">
        <v>0.1</v>
      </c>
      <c r="F10" s="8" t="n">
        <v>9476</v>
      </c>
      <c r="G10" s="9" t="n">
        <v>0.055</v>
      </c>
      <c r="H10" s="8" t="n">
        <v>8954</v>
      </c>
      <c r="I10" s="6" t="n">
        <v>37</v>
      </c>
      <c r="J10" s="8" t="n">
        <v>350612</v>
      </c>
      <c r="K10" s="6" t="n">
        <v>263</v>
      </c>
      <c r="L10" s="6" t="n">
        <v>4.1</v>
      </c>
      <c r="M10" s="6" t="s">
        <v>426</v>
      </c>
    </row>
    <row r="11" customFormat="false" ht="15" hidden="false" customHeight="false" outlineLevel="0" collapsed="false">
      <c r="A11" s="6" t="s">
        <v>427</v>
      </c>
      <c r="B11" s="6" t="s">
        <v>58</v>
      </c>
      <c r="C11" s="6" t="s">
        <v>428</v>
      </c>
      <c r="D11" s="8" t="n">
        <v>18670</v>
      </c>
      <c r="E11" s="11" t="n">
        <v>0</v>
      </c>
      <c r="F11" s="8" t="n">
        <v>18670</v>
      </c>
      <c r="G11" s="9" t="n">
        <v>0.055</v>
      </c>
      <c r="H11" s="8" t="n">
        <v>17643</v>
      </c>
      <c r="I11" s="6" t="n">
        <v>31</v>
      </c>
      <c r="J11" s="8" t="n">
        <v>578770</v>
      </c>
      <c r="K11" s="6" t="n">
        <v>60</v>
      </c>
      <c r="L11" s="6" t="n">
        <v>4.8</v>
      </c>
      <c r="M11" s="6" t="s">
        <v>429</v>
      </c>
    </row>
    <row r="12" customFormat="false" ht="15" hidden="false" customHeight="false" outlineLevel="0" collapsed="false">
      <c r="A12" s="6" t="s">
        <v>430</v>
      </c>
      <c r="B12" s="6" t="s">
        <v>59</v>
      </c>
      <c r="C12" s="6" t="s">
        <v>431</v>
      </c>
      <c r="D12" s="8" t="n">
        <v>19745</v>
      </c>
      <c r="E12" s="11" t="n">
        <v>0.05</v>
      </c>
      <c r="F12" s="8" t="n">
        <v>18757</v>
      </c>
      <c r="G12" s="9" t="n">
        <v>0.055</v>
      </c>
      <c r="H12" s="8" t="n">
        <v>17725</v>
      </c>
      <c r="I12" s="6" t="n">
        <v>259</v>
      </c>
      <c r="J12" s="8" t="n">
        <v>4858063</v>
      </c>
      <c r="K12" s="6" t="n">
        <v>18</v>
      </c>
      <c r="L12" s="6" t="n">
        <v>4.2</v>
      </c>
      <c r="M12" s="6" t="s">
        <v>432</v>
      </c>
    </row>
    <row r="13" customFormat="false" ht="15" hidden="false" customHeight="false" outlineLevel="0" collapsed="false">
      <c r="A13" s="6" t="s">
        <v>433</v>
      </c>
      <c r="B13" s="6" t="s">
        <v>60</v>
      </c>
      <c r="C13" s="6" t="s">
        <v>434</v>
      </c>
      <c r="D13" s="8" t="n">
        <v>20725</v>
      </c>
      <c r="E13" s="11" t="n">
        <v>0</v>
      </c>
      <c r="F13" s="8" t="n">
        <v>20725</v>
      </c>
      <c r="G13" s="9" t="n">
        <v>0.055</v>
      </c>
      <c r="H13" s="8" t="n">
        <v>19585</v>
      </c>
      <c r="I13" s="6" t="n">
        <v>435</v>
      </c>
      <c r="J13" s="8" t="n">
        <v>9015375</v>
      </c>
      <c r="K13" s="6" t="n">
        <v>66</v>
      </c>
      <c r="L13" s="6" t="n">
        <v>4.2</v>
      </c>
      <c r="M13" s="6" t="s">
        <v>435</v>
      </c>
    </row>
    <row r="14" customFormat="false" ht="15" hidden="false" customHeight="false" outlineLevel="0" collapsed="false">
      <c r="A14" s="6" t="s">
        <v>436</v>
      </c>
      <c r="B14" s="6" t="s">
        <v>62</v>
      </c>
      <c r="C14" s="6" t="s">
        <v>437</v>
      </c>
      <c r="D14" s="8" t="n">
        <v>22594</v>
      </c>
      <c r="E14" s="11" t="n">
        <v>0</v>
      </c>
      <c r="F14" s="8" t="n">
        <v>22594</v>
      </c>
      <c r="G14" s="9" t="n">
        <v>0.055</v>
      </c>
      <c r="H14" s="8" t="n">
        <v>21351</v>
      </c>
      <c r="I14" s="6" t="n">
        <v>274</v>
      </c>
      <c r="J14" s="8" t="n">
        <v>6190756</v>
      </c>
      <c r="K14" s="6" t="n">
        <v>319</v>
      </c>
      <c r="L14" s="6" t="n">
        <v>4.2</v>
      </c>
      <c r="M14" s="6" t="s">
        <v>438</v>
      </c>
    </row>
    <row r="15" customFormat="false" ht="15" hidden="false" customHeight="false" outlineLevel="0" collapsed="false">
      <c r="A15" s="6" t="s">
        <v>439</v>
      </c>
      <c r="B15" s="6" t="s">
        <v>63</v>
      </c>
      <c r="C15" s="6" t="s">
        <v>440</v>
      </c>
      <c r="D15" s="8" t="n">
        <v>5210</v>
      </c>
      <c r="E15" s="11" t="n">
        <v>0.15</v>
      </c>
      <c r="F15" s="8" t="n">
        <v>4428</v>
      </c>
      <c r="G15" s="9" t="n">
        <v>0.055</v>
      </c>
      <c r="H15" s="8" t="n">
        <v>4184</v>
      </c>
      <c r="I15" s="6" t="n">
        <v>285</v>
      </c>
      <c r="J15" s="8" t="n">
        <v>1261980</v>
      </c>
      <c r="K15" s="6" t="n">
        <v>138</v>
      </c>
      <c r="L15" s="6" t="n">
        <v>4.3</v>
      </c>
      <c r="M15" s="6" t="s">
        <v>441</v>
      </c>
    </row>
    <row r="16" customFormat="false" ht="15" hidden="false" customHeight="false" outlineLevel="0" collapsed="false">
      <c r="A16" s="6" t="s">
        <v>442</v>
      </c>
      <c r="B16" s="6" t="s">
        <v>91</v>
      </c>
      <c r="C16" s="6" t="s">
        <v>443</v>
      </c>
      <c r="D16" s="8" t="n">
        <v>19163</v>
      </c>
      <c r="E16" s="11" t="n">
        <v>0</v>
      </c>
      <c r="F16" s="8" t="n">
        <v>19163</v>
      </c>
      <c r="G16" s="9" t="n">
        <v>0.055</v>
      </c>
      <c r="H16" s="8" t="n">
        <v>18109</v>
      </c>
      <c r="I16" s="6" t="n">
        <v>35</v>
      </c>
      <c r="J16" s="8" t="n">
        <v>670705</v>
      </c>
      <c r="K16" s="6" t="n">
        <v>45</v>
      </c>
      <c r="L16" s="6" t="n">
        <v>4.2</v>
      </c>
      <c r="M16" s="6" t="s">
        <v>444</v>
      </c>
    </row>
    <row r="17" customFormat="false" ht="15" hidden="false" customHeight="false" outlineLevel="0" collapsed="false">
      <c r="A17" s="6" t="s">
        <v>445</v>
      </c>
      <c r="B17" s="6" t="s">
        <v>92</v>
      </c>
      <c r="C17" s="6" t="s">
        <v>446</v>
      </c>
      <c r="D17" s="8" t="n">
        <v>18748</v>
      </c>
      <c r="E17" s="11" t="n">
        <v>0.05</v>
      </c>
      <c r="F17" s="8" t="n">
        <v>17810</v>
      </c>
      <c r="G17" s="9" t="n">
        <v>0.055</v>
      </c>
      <c r="H17" s="8" t="n">
        <v>16830</v>
      </c>
      <c r="I17" s="6" t="n">
        <v>159</v>
      </c>
      <c r="J17" s="8" t="n">
        <v>2831790</v>
      </c>
      <c r="K17" s="6" t="n">
        <v>173</v>
      </c>
      <c r="L17" s="6" t="n">
        <v>4.8</v>
      </c>
      <c r="M17" s="6" t="s">
        <v>447</v>
      </c>
    </row>
    <row r="18" customFormat="false" ht="15" hidden="false" customHeight="false" outlineLevel="0" collapsed="false">
      <c r="A18" s="6" t="s">
        <v>448</v>
      </c>
      <c r="B18" s="6" t="s">
        <v>93</v>
      </c>
      <c r="C18" s="6" t="s">
        <v>449</v>
      </c>
      <c r="D18" s="8" t="n">
        <v>19351</v>
      </c>
      <c r="E18" s="11" t="n">
        <v>0</v>
      </c>
      <c r="F18" s="8" t="n">
        <v>19351</v>
      </c>
      <c r="G18" s="9" t="n">
        <v>0.055</v>
      </c>
      <c r="H18" s="8" t="n">
        <v>18286</v>
      </c>
      <c r="I18" s="6" t="n">
        <v>157</v>
      </c>
      <c r="J18" s="8" t="n">
        <v>3038107</v>
      </c>
      <c r="K18" s="6" t="n">
        <v>236</v>
      </c>
      <c r="L18" s="6" t="n">
        <v>4.8</v>
      </c>
      <c r="M18" s="6" t="s">
        <v>450</v>
      </c>
    </row>
    <row r="19" customFormat="false" ht="15" hidden="false" customHeight="false" outlineLevel="0" collapsed="false">
      <c r="A19" s="6" t="s">
        <v>451</v>
      </c>
      <c r="B19" s="6" t="s">
        <v>95</v>
      </c>
      <c r="C19" s="6" t="s">
        <v>452</v>
      </c>
      <c r="D19" s="8" t="n">
        <v>17360</v>
      </c>
      <c r="E19" s="11" t="n">
        <v>0</v>
      </c>
      <c r="F19" s="8" t="n">
        <v>17360</v>
      </c>
      <c r="G19" s="9" t="n">
        <v>0.055</v>
      </c>
      <c r="H19" s="8" t="n">
        <v>16405</v>
      </c>
      <c r="I19" s="6" t="n">
        <v>205</v>
      </c>
      <c r="J19" s="8" t="n">
        <v>3558800</v>
      </c>
      <c r="K19" s="6" t="n">
        <v>336</v>
      </c>
      <c r="L19" s="6" t="n">
        <v>4.8</v>
      </c>
      <c r="M19" s="6" t="s">
        <v>453</v>
      </c>
    </row>
    <row r="20" customFormat="false" ht="15" hidden="false" customHeight="false" outlineLevel="0" collapsed="false">
      <c r="A20" s="6" t="s">
        <v>454</v>
      </c>
      <c r="B20" s="6" t="s">
        <v>96</v>
      </c>
      <c r="C20" s="6" t="s">
        <v>455</v>
      </c>
      <c r="D20" s="8" t="n">
        <v>20251</v>
      </c>
      <c r="E20" s="11" t="n">
        <v>0</v>
      </c>
      <c r="F20" s="8" t="n">
        <v>20251</v>
      </c>
      <c r="G20" s="9" t="n">
        <v>0.055</v>
      </c>
      <c r="H20" s="8" t="n">
        <v>19137</v>
      </c>
      <c r="I20" s="6" t="n">
        <v>195</v>
      </c>
      <c r="J20" s="8" t="n">
        <v>3948945</v>
      </c>
      <c r="K20" s="6" t="n">
        <v>315</v>
      </c>
      <c r="L20" s="6" t="n">
        <v>4.2</v>
      </c>
      <c r="M20" s="6" t="s">
        <v>456</v>
      </c>
    </row>
    <row r="21" customFormat="false" ht="15" hidden="false" customHeight="false" outlineLevel="0" collapsed="false">
      <c r="A21" s="6" t="s">
        <v>457</v>
      </c>
      <c r="B21" s="6" t="s">
        <v>97</v>
      </c>
      <c r="C21" s="6" t="s">
        <v>458</v>
      </c>
      <c r="D21" s="8" t="n">
        <v>9802</v>
      </c>
      <c r="E21" s="11" t="n">
        <v>0.05</v>
      </c>
      <c r="F21" s="8" t="n">
        <v>9311</v>
      </c>
      <c r="G21" s="9" t="n">
        <v>0.055</v>
      </c>
      <c r="H21" s="8" t="n">
        <v>8798</v>
      </c>
      <c r="I21" s="6" t="n">
        <v>31</v>
      </c>
      <c r="J21" s="8" t="n">
        <v>288641</v>
      </c>
      <c r="K21" s="6" t="n">
        <v>19</v>
      </c>
      <c r="L21" s="6" t="n">
        <v>4.5</v>
      </c>
      <c r="M21" s="6" t="s">
        <v>459</v>
      </c>
    </row>
    <row r="22" customFormat="false" ht="15" hidden="false" customHeight="false" outlineLevel="0" collapsed="false">
      <c r="A22" s="6" t="s">
        <v>460</v>
      </c>
      <c r="B22" s="6" t="s">
        <v>98</v>
      </c>
      <c r="C22" s="6" t="s">
        <v>461</v>
      </c>
      <c r="D22" s="8" t="n">
        <v>9508</v>
      </c>
      <c r="E22" s="11" t="n">
        <v>0</v>
      </c>
      <c r="F22" s="8" t="n">
        <v>9508</v>
      </c>
      <c r="G22" s="9" t="n">
        <v>0.055</v>
      </c>
      <c r="H22" s="8" t="n">
        <v>8985</v>
      </c>
      <c r="I22" s="6" t="n">
        <v>159</v>
      </c>
      <c r="J22" s="8" t="n">
        <v>1511772</v>
      </c>
      <c r="K22" s="6" t="n">
        <v>133</v>
      </c>
      <c r="L22" s="6" t="n">
        <v>4.4</v>
      </c>
      <c r="M22" s="6" t="s">
        <v>462</v>
      </c>
    </row>
    <row r="23" customFormat="false" ht="15" hidden="false" customHeight="false" outlineLevel="0" collapsed="false">
      <c r="A23" s="6" t="s">
        <v>463</v>
      </c>
      <c r="B23" s="6" t="s">
        <v>99</v>
      </c>
      <c r="C23" s="6" t="s">
        <v>464</v>
      </c>
      <c r="D23" s="8" t="n">
        <v>10794</v>
      </c>
      <c r="E23" s="11" t="n">
        <v>0</v>
      </c>
      <c r="F23" s="8" t="n">
        <v>10794</v>
      </c>
      <c r="G23" s="9" t="n">
        <v>0.055</v>
      </c>
      <c r="H23" s="8" t="n">
        <v>10200</v>
      </c>
      <c r="I23" s="6" t="n">
        <v>292</v>
      </c>
      <c r="J23" s="8" t="n">
        <v>3151848</v>
      </c>
      <c r="K23" s="6" t="n">
        <v>284</v>
      </c>
      <c r="L23" s="6" t="n">
        <v>4.2</v>
      </c>
      <c r="M23" s="6" t="s">
        <v>283</v>
      </c>
    </row>
    <row r="24" customFormat="false" ht="15" hidden="false" customHeight="false" outlineLevel="0" collapsed="false">
      <c r="A24" s="6" t="s">
        <v>465</v>
      </c>
      <c r="B24" s="6" t="s">
        <v>100</v>
      </c>
      <c r="C24" s="6" t="s">
        <v>466</v>
      </c>
      <c r="D24" s="8" t="n">
        <v>10556</v>
      </c>
      <c r="E24" s="11" t="n">
        <v>0.1</v>
      </c>
      <c r="F24" s="8" t="n">
        <v>9500</v>
      </c>
      <c r="G24" s="9" t="n">
        <v>0.055</v>
      </c>
      <c r="H24" s="8" t="n">
        <v>8977</v>
      </c>
      <c r="I24" s="6" t="n">
        <v>144</v>
      </c>
      <c r="J24" s="8" t="n">
        <v>1368000</v>
      </c>
      <c r="K24" s="6" t="n">
        <v>79</v>
      </c>
      <c r="L24" s="6" t="n">
        <v>4.4</v>
      </c>
      <c r="M24" s="6" t="s">
        <v>467</v>
      </c>
    </row>
    <row r="25" customFormat="false" ht="15" hidden="false" customHeight="false" outlineLevel="0" collapsed="false">
      <c r="A25" s="6" t="s">
        <v>468</v>
      </c>
      <c r="B25" s="6" t="s">
        <v>101</v>
      </c>
      <c r="C25" s="6" t="s">
        <v>469</v>
      </c>
      <c r="D25" s="8" t="n">
        <v>2048</v>
      </c>
      <c r="E25" s="11" t="n">
        <v>0.1</v>
      </c>
      <c r="F25" s="8" t="n">
        <v>1843</v>
      </c>
      <c r="G25" s="9" t="n">
        <v>0.055</v>
      </c>
      <c r="H25" s="8" t="n">
        <v>1741</v>
      </c>
      <c r="I25" s="6" t="n">
        <v>350</v>
      </c>
      <c r="J25" s="8" t="n">
        <v>645050</v>
      </c>
      <c r="K25" s="6" t="n">
        <v>310</v>
      </c>
      <c r="L25" s="6" t="n">
        <v>4.6</v>
      </c>
      <c r="M25" s="6" t="s">
        <v>470</v>
      </c>
    </row>
    <row r="26" customFormat="false" ht="15" hidden="false" customHeight="false" outlineLevel="0" collapsed="false">
      <c r="A26" s="6" t="s">
        <v>471</v>
      </c>
      <c r="B26" s="6" t="s">
        <v>102</v>
      </c>
      <c r="C26" s="6" t="s">
        <v>472</v>
      </c>
      <c r="D26" s="8" t="n">
        <v>2015</v>
      </c>
      <c r="E26" s="11" t="n">
        <v>0</v>
      </c>
      <c r="F26" s="8" t="n">
        <v>2015</v>
      </c>
      <c r="G26" s="9" t="n">
        <v>0.055</v>
      </c>
      <c r="H26" s="8" t="n">
        <v>1904</v>
      </c>
      <c r="I26" s="6" t="n">
        <v>438</v>
      </c>
      <c r="J26" s="8" t="n">
        <v>882570</v>
      </c>
      <c r="K26" s="6" t="n">
        <v>306</v>
      </c>
      <c r="L26" s="6" t="n">
        <v>4.6</v>
      </c>
      <c r="M26" s="6" t="s">
        <v>473</v>
      </c>
    </row>
    <row r="27" customFormat="false" ht="15" hidden="false" customHeight="false" outlineLevel="0" collapsed="false">
      <c r="A27" s="6" t="s">
        <v>474</v>
      </c>
      <c r="B27" s="6" t="s">
        <v>103</v>
      </c>
      <c r="C27" s="6" t="s">
        <v>475</v>
      </c>
      <c r="D27" s="8" t="n">
        <v>28075</v>
      </c>
      <c r="E27" s="11" t="n">
        <v>0.05</v>
      </c>
      <c r="F27" s="8" t="n">
        <v>26671</v>
      </c>
      <c r="G27" s="9" t="n">
        <v>0.055</v>
      </c>
      <c r="H27" s="8" t="n">
        <v>25204</v>
      </c>
      <c r="I27" s="6" t="n">
        <v>101</v>
      </c>
      <c r="J27" s="8" t="n">
        <v>2693771</v>
      </c>
      <c r="K27" s="6" t="n">
        <v>53</v>
      </c>
      <c r="L27" s="6" t="n">
        <v>4.6</v>
      </c>
      <c r="M27" s="6" t="s">
        <v>307</v>
      </c>
    </row>
    <row r="28" customFormat="false" ht="15" hidden="false" customHeight="false" outlineLevel="0" collapsed="false">
      <c r="A28" s="6" t="s">
        <v>476</v>
      </c>
      <c r="B28" s="6" t="s">
        <v>104</v>
      </c>
      <c r="C28" s="6" t="s">
        <v>477</v>
      </c>
      <c r="D28" s="8" t="n">
        <v>41186</v>
      </c>
      <c r="E28" s="11" t="n">
        <v>0.15</v>
      </c>
      <c r="F28" s="8" t="n">
        <v>35008</v>
      </c>
      <c r="G28" s="9" t="n">
        <v>0.055</v>
      </c>
      <c r="H28" s="8" t="n">
        <v>33082</v>
      </c>
      <c r="I28" s="6" t="n">
        <v>59</v>
      </c>
      <c r="J28" s="8" t="n">
        <v>2065472</v>
      </c>
      <c r="K28" s="6" t="n">
        <v>268</v>
      </c>
      <c r="L28" s="6" t="n">
        <v>4.5</v>
      </c>
      <c r="M28" s="6" t="s">
        <v>478</v>
      </c>
    </row>
    <row r="29" customFormat="false" ht="15" hidden="false" customHeight="false" outlineLevel="0" collapsed="false">
      <c r="A29" s="6" t="s">
        <v>479</v>
      </c>
      <c r="B29" s="6" t="s">
        <v>105</v>
      </c>
      <c r="C29" s="6" t="s">
        <v>480</v>
      </c>
      <c r="D29" s="8" t="n">
        <v>15874</v>
      </c>
      <c r="E29" s="11" t="n">
        <v>0.15</v>
      </c>
      <c r="F29" s="8" t="n">
        <v>13492</v>
      </c>
      <c r="G29" s="9" t="n">
        <v>0.055</v>
      </c>
      <c r="H29" s="8" t="n">
        <v>12749</v>
      </c>
      <c r="I29" s="6" t="n">
        <v>29</v>
      </c>
      <c r="J29" s="8" t="n">
        <v>391268</v>
      </c>
      <c r="K29" s="6" t="n">
        <v>280</v>
      </c>
      <c r="L29" s="6" t="n">
        <v>4.8</v>
      </c>
      <c r="M29" s="6" t="s">
        <v>481</v>
      </c>
    </row>
    <row r="30" customFormat="false" ht="15" hidden="false" customHeight="false" outlineLevel="0" collapsed="false">
      <c r="A30" s="6" t="s">
        <v>482</v>
      </c>
      <c r="B30" s="6" t="s">
        <v>107</v>
      </c>
      <c r="C30" s="6" t="s">
        <v>483</v>
      </c>
      <c r="D30" s="8" t="n">
        <v>23050</v>
      </c>
      <c r="E30" s="11" t="n">
        <v>0.05</v>
      </c>
      <c r="F30" s="8" t="n">
        <v>21897</v>
      </c>
      <c r="G30" s="9" t="n">
        <v>0.055</v>
      </c>
      <c r="H30" s="8" t="n">
        <v>20692</v>
      </c>
      <c r="I30" s="6" t="n">
        <v>261</v>
      </c>
      <c r="J30" s="8" t="n">
        <v>5715117</v>
      </c>
      <c r="K30" s="6" t="n">
        <v>217</v>
      </c>
      <c r="L30" s="6" t="n">
        <v>4.1</v>
      </c>
      <c r="M30" s="6" t="s">
        <v>484</v>
      </c>
    </row>
    <row r="31" customFormat="false" ht="15" hidden="false" customHeight="false" outlineLevel="0" collapsed="false">
      <c r="A31" s="6" t="s">
        <v>485</v>
      </c>
      <c r="B31" s="6" t="s">
        <v>108</v>
      </c>
      <c r="C31" s="6" t="s">
        <v>486</v>
      </c>
      <c r="D31" s="8" t="n">
        <v>22726</v>
      </c>
      <c r="E31" s="11" t="n">
        <v>0</v>
      </c>
      <c r="F31" s="8" t="n">
        <v>22726</v>
      </c>
      <c r="G31" s="9" t="n">
        <v>0.055</v>
      </c>
      <c r="H31" s="8" t="n">
        <v>21476</v>
      </c>
      <c r="I31" s="6" t="n">
        <v>110</v>
      </c>
      <c r="J31" s="8" t="n">
        <v>2499860</v>
      </c>
      <c r="K31" s="6" t="n">
        <v>118</v>
      </c>
      <c r="L31" s="6" t="n">
        <v>4.4</v>
      </c>
      <c r="M31" s="6" t="s">
        <v>487</v>
      </c>
    </row>
    <row r="32" customFormat="false" ht="15" hidden="false" customHeight="false" outlineLevel="0" collapsed="false">
      <c r="A32" s="6" t="s">
        <v>488</v>
      </c>
      <c r="B32" s="6" t="s">
        <v>109</v>
      </c>
      <c r="C32" s="6" t="s">
        <v>489</v>
      </c>
      <c r="D32" s="8" t="n">
        <v>25626</v>
      </c>
      <c r="E32" s="11" t="n">
        <v>0.1</v>
      </c>
      <c r="F32" s="8" t="n">
        <v>23063</v>
      </c>
      <c r="G32" s="9" t="n">
        <v>0.055</v>
      </c>
      <c r="H32" s="8" t="n">
        <v>21794</v>
      </c>
      <c r="I32" s="6" t="n">
        <v>375</v>
      </c>
      <c r="J32" s="8" t="n">
        <v>8648625</v>
      </c>
      <c r="K32" s="6" t="n">
        <v>177</v>
      </c>
      <c r="L32" s="6" t="n">
        <v>4.5</v>
      </c>
      <c r="M32" s="6" t="s">
        <v>490</v>
      </c>
    </row>
    <row r="33" customFormat="false" ht="15" hidden="false" customHeight="false" outlineLevel="0" collapsed="false">
      <c r="A33" s="6" t="s">
        <v>491</v>
      </c>
      <c r="B33" s="6" t="s">
        <v>110</v>
      </c>
      <c r="C33" s="6" t="s">
        <v>492</v>
      </c>
      <c r="D33" s="8" t="n">
        <v>21703</v>
      </c>
      <c r="E33" s="11" t="n">
        <v>0.05</v>
      </c>
      <c r="F33" s="8" t="n">
        <v>20617</v>
      </c>
      <c r="G33" s="9" t="n">
        <v>0.055</v>
      </c>
      <c r="H33" s="8" t="n">
        <v>19483</v>
      </c>
      <c r="I33" s="6" t="n">
        <v>211</v>
      </c>
      <c r="J33" s="8" t="n">
        <v>4350187</v>
      </c>
      <c r="K33" s="6" t="n">
        <v>306</v>
      </c>
      <c r="L33" s="6" t="n">
        <v>4.4</v>
      </c>
      <c r="M33" s="6" t="s">
        <v>493</v>
      </c>
    </row>
    <row r="34" customFormat="false" ht="15" hidden="false" customHeight="false" outlineLevel="0" collapsed="false">
      <c r="A34" s="6" t="s">
        <v>494</v>
      </c>
      <c r="B34" s="6" t="s">
        <v>111</v>
      </c>
      <c r="C34" s="6" t="s">
        <v>495</v>
      </c>
      <c r="D34" s="8" t="n">
        <v>20864</v>
      </c>
      <c r="E34" s="11" t="n">
        <v>0</v>
      </c>
      <c r="F34" s="8" t="n">
        <v>20864</v>
      </c>
      <c r="G34" s="9" t="n">
        <v>0.055</v>
      </c>
      <c r="H34" s="8" t="n">
        <v>19716</v>
      </c>
      <c r="I34" s="6" t="n">
        <v>198</v>
      </c>
      <c r="J34" s="8" t="n">
        <v>4131072</v>
      </c>
      <c r="K34" s="6" t="n">
        <v>161</v>
      </c>
      <c r="L34" s="6" t="n">
        <v>4.8</v>
      </c>
      <c r="M34" s="6" t="s">
        <v>496</v>
      </c>
    </row>
    <row r="35" customFormat="false" ht="15" hidden="false" customHeight="false" outlineLevel="0" collapsed="false">
      <c r="A35" s="6" t="s">
        <v>497</v>
      </c>
      <c r="B35" s="6" t="s">
        <v>112</v>
      </c>
      <c r="C35" s="6" t="s">
        <v>498</v>
      </c>
      <c r="D35" s="8" t="n">
        <v>26029</v>
      </c>
      <c r="E35" s="11" t="n">
        <v>0</v>
      </c>
      <c r="F35" s="8" t="n">
        <v>26029</v>
      </c>
      <c r="G35" s="9" t="n">
        <v>0.055</v>
      </c>
      <c r="H35" s="8" t="n">
        <v>24597</v>
      </c>
      <c r="I35" s="6" t="n">
        <v>88</v>
      </c>
      <c r="J35" s="8" t="n">
        <v>2290552</v>
      </c>
      <c r="K35" s="6" t="n">
        <v>167</v>
      </c>
      <c r="L35" s="6" t="n">
        <v>4.5</v>
      </c>
      <c r="M35" s="6" t="s">
        <v>499</v>
      </c>
    </row>
    <row r="36" customFormat="false" ht="15" hidden="false" customHeight="false" outlineLevel="0" collapsed="false">
      <c r="A36" s="6" t="s">
        <v>500</v>
      </c>
      <c r="B36" s="6" t="s">
        <v>113</v>
      </c>
      <c r="C36" s="6" t="s">
        <v>501</v>
      </c>
      <c r="D36" s="8" t="n">
        <v>38548</v>
      </c>
      <c r="E36" s="11" t="n">
        <v>0</v>
      </c>
      <c r="F36" s="8" t="n">
        <v>38548</v>
      </c>
      <c r="G36" s="9" t="n">
        <v>0.055</v>
      </c>
      <c r="H36" s="8" t="n">
        <v>36427</v>
      </c>
      <c r="I36" s="6" t="n">
        <v>228</v>
      </c>
      <c r="J36" s="8" t="n">
        <v>8788944</v>
      </c>
      <c r="K36" s="6" t="n">
        <v>319</v>
      </c>
      <c r="L36" s="6" t="n">
        <v>4.4</v>
      </c>
      <c r="M36" s="6" t="s">
        <v>502</v>
      </c>
    </row>
    <row r="37" customFormat="false" ht="15" hidden="false" customHeight="false" outlineLevel="0" collapsed="false">
      <c r="A37" s="6" t="s">
        <v>503</v>
      </c>
      <c r="B37" s="6" t="s">
        <v>115</v>
      </c>
      <c r="C37" s="6" t="s">
        <v>504</v>
      </c>
      <c r="D37" s="8" t="n">
        <v>43826</v>
      </c>
      <c r="E37" s="11" t="n">
        <v>0</v>
      </c>
      <c r="F37" s="8" t="n">
        <v>43826</v>
      </c>
      <c r="G37" s="9" t="n">
        <v>0.055</v>
      </c>
      <c r="H37" s="8" t="n">
        <v>41415</v>
      </c>
      <c r="I37" s="6" t="n">
        <v>58</v>
      </c>
      <c r="J37" s="8" t="n">
        <v>2541908</v>
      </c>
      <c r="K37" s="6" t="n">
        <v>121</v>
      </c>
      <c r="L37" s="6" t="n">
        <v>4.7</v>
      </c>
      <c r="M37" s="6" t="s">
        <v>269</v>
      </c>
    </row>
    <row r="38" customFormat="false" ht="15" hidden="false" customHeight="false" outlineLevel="0" collapsed="false">
      <c r="A38" s="6" t="s">
        <v>505</v>
      </c>
      <c r="B38" s="6" t="s">
        <v>116</v>
      </c>
      <c r="C38" s="6" t="s">
        <v>506</v>
      </c>
      <c r="D38" s="8" t="n">
        <v>16100</v>
      </c>
      <c r="E38" s="11" t="n">
        <v>0.05</v>
      </c>
      <c r="F38" s="8" t="n">
        <v>15295</v>
      </c>
      <c r="G38" s="9" t="n">
        <v>0.055</v>
      </c>
      <c r="H38" s="8" t="n">
        <v>14453</v>
      </c>
      <c r="I38" s="6" t="n">
        <v>316</v>
      </c>
      <c r="J38" s="8" t="n">
        <v>4833220</v>
      </c>
      <c r="K38" s="6" t="n">
        <v>94</v>
      </c>
      <c r="L38" s="6" t="n">
        <v>4.5</v>
      </c>
      <c r="M38" s="6" t="s">
        <v>507</v>
      </c>
    </row>
    <row r="39" customFormat="false" ht="15" hidden="false" customHeight="false" outlineLevel="0" collapsed="false">
      <c r="A39" s="6" t="s">
        <v>508</v>
      </c>
      <c r="B39" s="6" t="s">
        <v>117</v>
      </c>
      <c r="C39" s="6" t="s">
        <v>509</v>
      </c>
      <c r="D39" s="8" t="n">
        <v>15678</v>
      </c>
      <c r="E39" s="11" t="n">
        <v>0</v>
      </c>
      <c r="F39" s="8" t="n">
        <v>15678</v>
      </c>
      <c r="G39" s="9" t="n">
        <v>0.055</v>
      </c>
      <c r="H39" s="8" t="n">
        <v>14815</v>
      </c>
      <c r="I39" s="6" t="n">
        <v>436</v>
      </c>
      <c r="J39" s="8" t="n">
        <v>6835608</v>
      </c>
      <c r="K39" s="6" t="n">
        <v>287</v>
      </c>
      <c r="L39" s="6" t="n">
        <v>4.2</v>
      </c>
      <c r="M39" s="6" t="s">
        <v>510</v>
      </c>
    </row>
    <row r="40" customFormat="false" ht="15" hidden="false" customHeight="false" outlineLevel="0" collapsed="false">
      <c r="A40" s="6" t="s">
        <v>511</v>
      </c>
      <c r="B40" s="6" t="s">
        <v>118</v>
      </c>
      <c r="C40" s="6" t="s">
        <v>512</v>
      </c>
      <c r="D40" s="8" t="n">
        <v>17886</v>
      </c>
      <c r="E40" s="11" t="n">
        <v>0.05</v>
      </c>
      <c r="F40" s="8" t="n">
        <v>16991</v>
      </c>
      <c r="G40" s="9" t="n">
        <v>0.055</v>
      </c>
      <c r="H40" s="8" t="n">
        <v>16056</v>
      </c>
      <c r="I40" s="6" t="n">
        <v>238</v>
      </c>
      <c r="J40" s="8" t="n">
        <v>4043858</v>
      </c>
      <c r="K40" s="6" t="n">
        <v>41</v>
      </c>
      <c r="L40" s="6" t="n">
        <v>4.6</v>
      </c>
      <c r="M40" s="6" t="s">
        <v>513</v>
      </c>
    </row>
    <row r="41" customFormat="false" ht="15" hidden="false" customHeight="false" outlineLevel="0" collapsed="false">
      <c r="A41" s="6" t="s">
        <v>514</v>
      </c>
      <c r="B41" s="6" t="s">
        <v>119</v>
      </c>
      <c r="C41" s="6" t="s">
        <v>515</v>
      </c>
      <c r="D41" s="8" t="n">
        <v>39289</v>
      </c>
      <c r="E41" s="11" t="n">
        <v>0</v>
      </c>
      <c r="F41" s="8" t="n">
        <v>39289</v>
      </c>
      <c r="G41" s="9" t="n">
        <v>0.055</v>
      </c>
      <c r="H41" s="8" t="n">
        <v>37128</v>
      </c>
      <c r="I41" s="6" t="n">
        <v>382</v>
      </c>
      <c r="J41" s="8" t="n">
        <v>15008398</v>
      </c>
      <c r="K41" s="6" t="n">
        <v>117</v>
      </c>
      <c r="L41" s="6" t="n">
        <v>4.5</v>
      </c>
      <c r="M41" s="6" t="s">
        <v>516</v>
      </c>
    </row>
    <row r="42" customFormat="false" ht="15" hidden="false" customHeight="false" outlineLevel="0" collapsed="false">
      <c r="A42" s="6" t="s">
        <v>517</v>
      </c>
      <c r="B42" s="6" t="s">
        <v>65</v>
      </c>
      <c r="C42" s="6" t="s">
        <v>518</v>
      </c>
      <c r="D42" s="8" t="n">
        <v>12718</v>
      </c>
      <c r="E42" s="11" t="n">
        <v>0</v>
      </c>
      <c r="F42" s="8" t="n">
        <v>12718</v>
      </c>
      <c r="G42" s="9" t="n">
        <v>0.055</v>
      </c>
      <c r="H42" s="8" t="n">
        <v>12018</v>
      </c>
      <c r="I42" s="6" t="n">
        <v>38</v>
      </c>
      <c r="J42" s="8" t="n">
        <v>483284</v>
      </c>
      <c r="K42" s="6" t="n">
        <v>45</v>
      </c>
      <c r="L42" s="6" t="n">
        <v>4.2</v>
      </c>
      <c r="M42" s="6" t="s">
        <v>519</v>
      </c>
    </row>
    <row r="43" customFormat="false" ht="15" hidden="false" customHeight="false" outlineLevel="0" collapsed="false">
      <c r="A43" s="6" t="s">
        <v>520</v>
      </c>
      <c r="B43" s="6" t="s">
        <v>67</v>
      </c>
      <c r="C43" s="6" t="s">
        <v>521</v>
      </c>
      <c r="D43" s="8" t="n">
        <v>10041</v>
      </c>
      <c r="E43" s="11" t="n">
        <v>0.05</v>
      </c>
      <c r="F43" s="8" t="n">
        <v>9538</v>
      </c>
      <c r="G43" s="9" t="n">
        <v>0.055</v>
      </c>
      <c r="H43" s="8" t="n">
        <v>9013</v>
      </c>
      <c r="I43" s="6" t="n">
        <v>373</v>
      </c>
      <c r="J43" s="8" t="n">
        <v>3557674</v>
      </c>
      <c r="K43" s="6" t="n">
        <v>274</v>
      </c>
      <c r="L43" s="6" t="n">
        <v>4.3</v>
      </c>
      <c r="M43" s="6" t="s">
        <v>522</v>
      </c>
    </row>
    <row r="44" customFormat="false" ht="15" hidden="false" customHeight="false" outlineLevel="0" collapsed="false">
      <c r="A44" s="6" t="s">
        <v>523</v>
      </c>
      <c r="B44" s="6" t="s">
        <v>68</v>
      </c>
      <c r="C44" s="6" t="s">
        <v>524</v>
      </c>
      <c r="D44" s="8" t="n">
        <v>11778</v>
      </c>
      <c r="E44" s="11" t="n">
        <v>0.05</v>
      </c>
      <c r="F44" s="8" t="n">
        <v>11189</v>
      </c>
      <c r="G44" s="9" t="n">
        <v>0.055</v>
      </c>
      <c r="H44" s="8" t="n">
        <v>10573</v>
      </c>
      <c r="I44" s="6" t="n">
        <v>99</v>
      </c>
      <c r="J44" s="8" t="n">
        <v>1107711</v>
      </c>
      <c r="K44" s="6" t="n">
        <v>348</v>
      </c>
      <c r="L44" s="6" t="n">
        <v>4.4</v>
      </c>
      <c r="M44" s="6" t="s">
        <v>525</v>
      </c>
    </row>
    <row r="45" customFormat="false" ht="15" hidden="false" customHeight="false" outlineLevel="0" collapsed="false">
      <c r="A45" s="6" t="s">
        <v>526</v>
      </c>
      <c r="B45" s="6" t="s">
        <v>69</v>
      </c>
      <c r="C45" s="6" t="s">
        <v>527</v>
      </c>
      <c r="D45" s="8" t="n">
        <v>14559</v>
      </c>
      <c r="E45" s="11" t="n">
        <v>0</v>
      </c>
      <c r="F45" s="8" t="n">
        <v>14559</v>
      </c>
      <c r="G45" s="9" t="n">
        <v>0.055</v>
      </c>
      <c r="H45" s="8" t="n">
        <v>13758</v>
      </c>
      <c r="I45" s="6" t="n">
        <v>438</v>
      </c>
      <c r="J45" s="8" t="n">
        <v>6376842</v>
      </c>
      <c r="K45" s="6" t="n">
        <v>52</v>
      </c>
      <c r="L45" s="6" t="n">
        <v>4.3</v>
      </c>
      <c r="M45" s="6" t="s">
        <v>528</v>
      </c>
    </row>
    <row r="46" customFormat="false" ht="15" hidden="false" customHeight="false" outlineLevel="0" collapsed="false">
      <c r="A46" s="6" t="s">
        <v>529</v>
      </c>
      <c r="B46" s="6" t="s">
        <v>70</v>
      </c>
      <c r="C46" s="6" t="s">
        <v>530</v>
      </c>
      <c r="D46" s="8" t="n">
        <v>16181</v>
      </c>
      <c r="E46" s="11" t="n">
        <v>0.15</v>
      </c>
      <c r="F46" s="8" t="n">
        <v>13753</v>
      </c>
      <c r="G46" s="9" t="n">
        <v>0.055</v>
      </c>
      <c r="H46" s="8" t="n">
        <v>12996</v>
      </c>
      <c r="I46" s="6" t="n">
        <v>194</v>
      </c>
      <c r="J46" s="8" t="n">
        <v>2668082</v>
      </c>
      <c r="K46" s="6" t="n">
        <v>175</v>
      </c>
      <c r="L46" s="6" t="n">
        <v>4.6</v>
      </c>
      <c r="M46" s="6" t="s">
        <v>531</v>
      </c>
    </row>
    <row r="47" customFormat="false" ht="15" hidden="false" customHeight="false" outlineLevel="0" collapsed="false">
      <c r="A47" s="6" t="s">
        <v>532</v>
      </c>
      <c r="B47" s="6" t="s">
        <v>71</v>
      </c>
      <c r="C47" s="6" t="s">
        <v>533</v>
      </c>
      <c r="D47" s="8" t="n">
        <v>11499</v>
      </c>
      <c r="E47" s="11" t="n">
        <v>0.05</v>
      </c>
      <c r="F47" s="8" t="n">
        <v>10924</v>
      </c>
      <c r="G47" s="9" t="n">
        <v>0.055</v>
      </c>
      <c r="H47" s="8" t="n">
        <v>10323</v>
      </c>
      <c r="I47" s="6" t="n">
        <v>83</v>
      </c>
      <c r="J47" s="8" t="n">
        <v>906692</v>
      </c>
      <c r="K47" s="6" t="n">
        <v>113</v>
      </c>
      <c r="L47" s="6" t="n">
        <v>4.1</v>
      </c>
      <c r="M47" s="6" t="s">
        <v>534</v>
      </c>
    </row>
    <row r="48" customFormat="false" ht="15" hidden="false" customHeight="false" outlineLevel="0" collapsed="false">
      <c r="A48" s="6" t="s">
        <v>535</v>
      </c>
      <c r="B48" s="6" t="s">
        <v>72</v>
      </c>
      <c r="C48" s="6" t="s">
        <v>536</v>
      </c>
      <c r="D48" s="8" t="n">
        <v>16667</v>
      </c>
      <c r="E48" s="11" t="n">
        <v>0</v>
      </c>
      <c r="F48" s="8" t="n">
        <v>16667</v>
      </c>
      <c r="G48" s="9" t="n">
        <v>0.055</v>
      </c>
      <c r="H48" s="8" t="n">
        <v>15750</v>
      </c>
      <c r="I48" s="6" t="n">
        <v>359</v>
      </c>
      <c r="J48" s="8" t="n">
        <v>5983453</v>
      </c>
      <c r="K48" s="6" t="n">
        <v>99</v>
      </c>
      <c r="L48" s="6" t="n">
        <v>4.5</v>
      </c>
      <c r="M48" s="6" t="s">
        <v>215</v>
      </c>
    </row>
    <row r="49" customFormat="false" ht="15" hidden="false" customHeight="false" outlineLevel="0" collapsed="false">
      <c r="A49" s="6" t="s">
        <v>537</v>
      </c>
      <c r="B49" s="6" t="s">
        <v>73</v>
      </c>
      <c r="C49" s="6" t="s">
        <v>538</v>
      </c>
      <c r="D49" s="8" t="n">
        <v>20822</v>
      </c>
      <c r="E49" s="11" t="n">
        <v>0</v>
      </c>
      <c r="F49" s="8" t="n">
        <v>20822</v>
      </c>
      <c r="G49" s="9" t="n">
        <v>0.055</v>
      </c>
      <c r="H49" s="8" t="n">
        <v>19676</v>
      </c>
      <c r="I49" s="6" t="n">
        <v>367</v>
      </c>
      <c r="J49" s="8" t="n">
        <v>7641674</v>
      </c>
      <c r="K49" s="6" t="n">
        <v>160</v>
      </c>
      <c r="L49" s="6" t="n">
        <v>4.2</v>
      </c>
      <c r="M49" s="6" t="s">
        <v>539</v>
      </c>
    </row>
    <row r="50" customFormat="false" ht="15" hidden="false" customHeight="false" outlineLevel="0" collapsed="false">
      <c r="A50" s="6" t="s">
        <v>540</v>
      </c>
      <c r="B50" s="6" t="s">
        <v>74</v>
      </c>
      <c r="C50" s="6" t="s">
        <v>541</v>
      </c>
      <c r="D50" s="8" t="n">
        <v>19270</v>
      </c>
      <c r="E50" s="11" t="n">
        <v>0.1</v>
      </c>
      <c r="F50" s="8" t="n">
        <v>17343</v>
      </c>
      <c r="G50" s="9" t="n">
        <v>0.055</v>
      </c>
      <c r="H50" s="8" t="n">
        <v>16389</v>
      </c>
      <c r="I50" s="6" t="n">
        <v>166</v>
      </c>
      <c r="J50" s="8" t="n">
        <v>2878938</v>
      </c>
      <c r="K50" s="6" t="n">
        <v>259</v>
      </c>
      <c r="L50" s="6" t="n">
        <v>4.4</v>
      </c>
      <c r="M50" s="6" t="s">
        <v>340</v>
      </c>
    </row>
    <row r="51" customFormat="false" ht="15" hidden="false" customHeight="false" outlineLevel="0" collapsed="false">
      <c r="A51" s="6" t="s">
        <v>542</v>
      </c>
      <c r="B51" s="6" t="s">
        <v>75</v>
      </c>
      <c r="C51" s="6" t="s">
        <v>543</v>
      </c>
      <c r="D51" s="8" t="n">
        <v>16203</v>
      </c>
      <c r="E51" s="11" t="n">
        <v>0.1</v>
      </c>
      <c r="F51" s="8" t="n">
        <v>14582</v>
      </c>
      <c r="G51" s="9" t="n">
        <v>0.055</v>
      </c>
      <c r="H51" s="8" t="n">
        <v>13779</v>
      </c>
      <c r="I51" s="6" t="n">
        <v>177</v>
      </c>
      <c r="J51" s="8" t="n">
        <v>2581014</v>
      </c>
      <c r="K51" s="6" t="n">
        <v>130</v>
      </c>
      <c r="L51" s="6" t="n">
        <v>4.1</v>
      </c>
      <c r="M51" s="6" t="s">
        <v>311</v>
      </c>
    </row>
    <row r="52" customFormat="false" ht="15" hidden="false" customHeight="false" outlineLevel="0" collapsed="false">
      <c r="A52" s="6" t="s">
        <v>544</v>
      </c>
      <c r="B52" s="6" t="s">
        <v>76</v>
      </c>
      <c r="C52" s="6" t="s">
        <v>545</v>
      </c>
      <c r="D52" s="8" t="n">
        <v>25039</v>
      </c>
      <c r="E52" s="11" t="n">
        <v>0</v>
      </c>
      <c r="F52" s="8" t="n">
        <v>25039</v>
      </c>
      <c r="G52" s="9" t="n">
        <v>0.055</v>
      </c>
      <c r="H52" s="8" t="n">
        <v>23661</v>
      </c>
      <c r="I52" s="6" t="n">
        <v>75</v>
      </c>
      <c r="J52" s="8" t="n">
        <v>1877925</v>
      </c>
      <c r="K52" s="6" t="n">
        <v>284</v>
      </c>
      <c r="L52" s="6" t="n">
        <v>4.5</v>
      </c>
      <c r="M52" s="6" t="s">
        <v>546</v>
      </c>
    </row>
    <row r="53" customFormat="false" ht="15" hidden="false" customHeight="false" outlineLevel="0" collapsed="false">
      <c r="A53" s="6" t="s">
        <v>547</v>
      </c>
      <c r="B53" s="6" t="s">
        <v>13</v>
      </c>
      <c r="C53" s="6" t="s">
        <v>548</v>
      </c>
      <c r="D53" s="8" t="n">
        <v>15747</v>
      </c>
      <c r="E53" s="11" t="n">
        <v>0</v>
      </c>
      <c r="F53" s="8" t="n">
        <v>15747</v>
      </c>
      <c r="G53" s="9" t="n">
        <v>0.055</v>
      </c>
      <c r="H53" s="8" t="n">
        <v>14880</v>
      </c>
      <c r="I53" s="6" t="n">
        <v>254</v>
      </c>
      <c r="J53" s="8" t="n">
        <v>3999738</v>
      </c>
      <c r="K53" s="6" t="n">
        <v>57</v>
      </c>
      <c r="L53" s="6" t="n">
        <v>4.5</v>
      </c>
      <c r="M53" s="6" t="s">
        <v>549</v>
      </c>
    </row>
    <row r="54" customFormat="false" ht="15" hidden="false" customHeight="false" outlineLevel="0" collapsed="false">
      <c r="A54" s="6" t="s">
        <v>550</v>
      </c>
      <c r="B54" s="6" t="s">
        <v>16</v>
      </c>
      <c r="C54" s="6" t="s">
        <v>551</v>
      </c>
      <c r="D54" s="8" t="n">
        <v>18141</v>
      </c>
      <c r="E54" s="11" t="n">
        <v>0.1</v>
      </c>
      <c r="F54" s="8" t="n">
        <v>16326</v>
      </c>
      <c r="G54" s="9" t="n">
        <v>0.055</v>
      </c>
      <c r="H54" s="8" t="n">
        <v>15428</v>
      </c>
      <c r="I54" s="6" t="n">
        <v>391</v>
      </c>
      <c r="J54" s="8" t="n">
        <v>6383466</v>
      </c>
      <c r="K54" s="6" t="n">
        <v>150</v>
      </c>
      <c r="L54" s="6" t="n">
        <v>4.1</v>
      </c>
      <c r="M54" s="6" t="s">
        <v>552</v>
      </c>
    </row>
    <row r="55" customFormat="false" ht="15" hidden="false" customHeight="false" outlineLevel="0" collapsed="false">
      <c r="A55" s="6" t="s">
        <v>553</v>
      </c>
      <c r="B55" s="6" t="s">
        <v>18</v>
      </c>
      <c r="C55" s="6" t="s">
        <v>554</v>
      </c>
      <c r="D55" s="8" t="n">
        <v>29405</v>
      </c>
      <c r="E55" s="11" t="n">
        <v>0</v>
      </c>
      <c r="F55" s="8" t="n">
        <v>29405</v>
      </c>
      <c r="G55" s="9" t="n">
        <v>0.055</v>
      </c>
      <c r="H55" s="8" t="n">
        <v>27787</v>
      </c>
      <c r="I55" s="6" t="n">
        <v>271</v>
      </c>
      <c r="J55" s="8" t="n">
        <v>7968755</v>
      </c>
      <c r="K55" s="6" t="n">
        <v>83</v>
      </c>
      <c r="L55" s="6" t="n">
        <v>4.8</v>
      </c>
      <c r="M55" s="6" t="s">
        <v>555</v>
      </c>
    </row>
    <row r="56" customFormat="false" ht="15" hidden="false" customHeight="false" outlineLevel="0" collapsed="false">
      <c r="A56" s="6" t="s">
        <v>556</v>
      </c>
      <c r="B56" s="6" t="s">
        <v>19</v>
      </c>
      <c r="C56" s="6" t="s">
        <v>557</v>
      </c>
      <c r="D56" s="8" t="n">
        <v>32697</v>
      </c>
      <c r="E56" s="11" t="n">
        <v>0</v>
      </c>
      <c r="F56" s="8" t="n">
        <v>32697</v>
      </c>
      <c r="G56" s="9" t="n">
        <v>0.055</v>
      </c>
      <c r="H56" s="8" t="n">
        <v>30898</v>
      </c>
      <c r="I56" s="6" t="n">
        <v>363</v>
      </c>
      <c r="J56" s="8" t="n">
        <v>11869011</v>
      </c>
      <c r="K56" s="6" t="n">
        <v>341</v>
      </c>
      <c r="L56" s="6" t="n">
        <v>4.6</v>
      </c>
      <c r="M56" s="6" t="s">
        <v>313</v>
      </c>
    </row>
    <row r="57" customFormat="false" ht="15" hidden="false" customHeight="false" outlineLevel="0" collapsed="false">
      <c r="A57" s="6" t="s">
        <v>558</v>
      </c>
      <c r="B57" s="6" t="s">
        <v>21</v>
      </c>
      <c r="C57" s="6" t="s">
        <v>559</v>
      </c>
      <c r="D57" s="8" t="n">
        <v>12819</v>
      </c>
      <c r="E57" s="11" t="n">
        <v>0.15</v>
      </c>
      <c r="F57" s="8" t="n">
        <v>10896</v>
      </c>
      <c r="G57" s="9" t="n">
        <v>0.055</v>
      </c>
      <c r="H57" s="8" t="n">
        <v>10296</v>
      </c>
      <c r="I57" s="6" t="n">
        <v>30</v>
      </c>
      <c r="J57" s="8" t="n">
        <v>326880</v>
      </c>
      <c r="K57" s="6" t="n">
        <v>350</v>
      </c>
      <c r="L57" s="6" t="n">
        <v>4.8</v>
      </c>
      <c r="M57" s="6" t="s">
        <v>560</v>
      </c>
    </row>
    <row r="58" customFormat="false" ht="15" hidden="false" customHeight="false" outlineLevel="0" collapsed="false">
      <c r="A58" s="6" t="s">
        <v>561</v>
      </c>
      <c r="B58" s="6" t="s">
        <v>22</v>
      </c>
      <c r="C58" s="6" t="s">
        <v>562</v>
      </c>
      <c r="D58" s="8" t="n">
        <v>22520</v>
      </c>
      <c r="E58" s="11" t="n">
        <v>0.15</v>
      </c>
      <c r="F58" s="8" t="n">
        <v>19142</v>
      </c>
      <c r="G58" s="9" t="n">
        <v>0.055</v>
      </c>
      <c r="H58" s="8" t="n">
        <v>18089</v>
      </c>
      <c r="I58" s="6" t="n">
        <v>345</v>
      </c>
      <c r="J58" s="8" t="n">
        <v>6603990</v>
      </c>
      <c r="K58" s="6" t="n">
        <v>33</v>
      </c>
      <c r="L58" s="6" t="n">
        <v>4.6</v>
      </c>
      <c r="M58" s="6" t="s">
        <v>563</v>
      </c>
    </row>
    <row r="59" customFormat="false" ht="15" hidden="false" customHeight="false" outlineLevel="0" collapsed="false">
      <c r="A59" s="6" t="s">
        <v>564</v>
      </c>
      <c r="B59" s="6" t="s">
        <v>23</v>
      </c>
      <c r="C59" s="6" t="s">
        <v>565</v>
      </c>
      <c r="D59" s="8" t="n">
        <v>14734</v>
      </c>
      <c r="E59" s="11" t="n">
        <v>0</v>
      </c>
      <c r="F59" s="8" t="n">
        <v>14734</v>
      </c>
      <c r="G59" s="9" t="n">
        <v>0.055</v>
      </c>
      <c r="H59" s="8" t="n">
        <v>13923</v>
      </c>
      <c r="I59" s="6" t="n">
        <v>250</v>
      </c>
      <c r="J59" s="8" t="n">
        <v>3683500</v>
      </c>
      <c r="K59" s="6" t="n">
        <v>156</v>
      </c>
      <c r="L59" s="6" t="n">
        <v>4.9</v>
      </c>
      <c r="M59" s="6" t="s">
        <v>566</v>
      </c>
    </row>
    <row r="60" customFormat="false" ht="15" hidden="false" customHeight="false" outlineLevel="0" collapsed="false">
      <c r="A60" s="6" t="s">
        <v>567</v>
      </c>
      <c r="B60" s="6" t="s">
        <v>24</v>
      </c>
      <c r="C60" s="6" t="s">
        <v>568</v>
      </c>
      <c r="D60" s="8" t="n">
        <v>25105</v>
      </c>
      <c r="E60" s="11" t="n">
        <v>0</v>
      </c>
      <c r="F60" s="8" t="n">
        <v>25105</v>
      </c>
      <c r="G60" s="9" t="n">
        <v>0.055</v>
      </c>
      <c r="H60" s="8" t="n">
        <v>23724</v>
      </c>
      <c r="I60" s="6" t="n">
        <v>205</v>
      </c>
      <c r="J60" s="8" t="n">
        <v>5146525</v>
      </c>
      <c r="K60" s="6" t="n">
        <v>303</v>
      </c>
      <c r="L60" s="6" t="n">
        <v>4.5</v>
      </c>
      <c r="M60" s="6" t="s">
        <v>138</v>
      </c>
    </row>
    <row r="61" customFormat="false" ht="15" hidden="false" customHeight="false" outlineLevel="0" collapsed="false">
      <c r="A61" s="6" t="s">
        <v>569</v>
      </c>
      <c r="B61" s="6" t="s">
        <v>77</v>
      </c>
      <c r="C61" s="6" t="s">
        <v>570</v>
      </c>
      <c r="D61" s="8" t="n">
        <v>18390</v>
      </c>
      <c r="E61" s="11" t="n">
        <v>0.15</v>
      </c>
      <c r="F61" s="8" t="n">
        <v>15631</v>
      </c>
      <c r="G61" s="9" t="n">
        <v>0.055</v>
      </c>
      <c r="H61" s="8" t="n">
        <v>14771</v>
      </c>
      <c r="I61" s="6" t="n">
        <v>221</v>
      </c>
      <c r="J61" s="8" t="n">
        <v>3454451</v>
      </c>
      <c r="K61" s="6" t="n">
        <v>39</v>
      </c>
      <c r="L61" s="6" t="n">
        <v>4.2</v>
      </c>
      <c r="M61" s="6" t="s">
        <v>571</v>
      </c>
    </row>
    <row r="62" customFormat="false" ht="15" hidden="false" customHeight="false" outlineLevel="0" collapsed="false">
      <c r="A62" s="6" t="s">
        <v>572</v>
      </c>
      <c r="B62" s="6" t="s">
        <v>78</v>
      </c>
      <c r="C62" s="6" t="s">
        <v>573</v>
      </c>
      <c r="D62" s="8" t="n">
        <v>15169</v>
      </c>
      <c r="E62" s="11" t="n">
        <v>0</v>
      </c>
      <c r="F62" s="8" t="n">
        <v>15169</v>
      </c>
      <c r="G62" s="9" t="n">
        <v>0.055</v>
      </c>
      <c r="H62" s="8" t="n">
        <v>14334</v>
      </c>
      <c r="I62" s="6" t="n">
        <v>41</v>
      </c>
      <c r="J62" s="8" t="n">
        <v>621929</v>
      </c>
      <c r="K62" s="6" t="n">
        <v>301</v>
      </c>
      <c r="L62" s="6" t="n">
        <v>4.8</v>
      </c>
      <c r="M62" s="6" t="s">
        <v>574</v>
      </c>
    </row>
    <row r="63" customFormat="false" ht="15" hidden="false" customHeight="false" outlineLevel="0" collapsed="false">
      <c r="A63" s="6" t="s">
        <v>575</v>
      </c>
      <c r="B63" s="6" t="s">
        <v>79</v>
      </c>
      <c r="C63" s="6" t="s">
        <v>576</v>
      </c>
      <c r="D63" s="8" t="n">
        <v>19829</v>
      </c>
      <c r="E63" s="11" t="n">
        <v>0.15</v>
      </c>
      <c r="F63" s="8" t="n">
        <v>16854</v>
      </c>
      <c r="G63" s="9" t="n">
        <v>0.055</v>
      </c>
      <c r="H63" s="8" t="n">
        <v>15927</v>
      </c>
      <c r="I63" s="6" t="n">
        <v>35</v>
      </c>
      <c r="J63" s="8" t="n">
        <v>589890</v>
      </c>
      <c r="K63" s="6" t="n">
        <v>157</v>
      </c>
      <c r="L63" s="6" t="n">
        <v>4.3</v>
      </c>
      <c r="M63" s="6" t="s">
        <v>577</v>
      </c>
    </row>
    <row r="64" customFormat="false" ht="15" hidden="false" customHeight="false" outlineLevel="0" collapsed="false">
      <c r="A64" s="6" t="s">
        <v>578</v>
      </c>
      <c r="B64" s="6" t="s">
        <v>80</v>
      </c>
      <c r="C64" s="6" t="s">
        <v>579</v>
      </c>
      <c r="D64" s="8" t="n">
        <v>18341</v>
      </c>
      <c r="E64" s="11" t="n">
        <v>0</v>
      </c>
      <c r="F64" s="8" t="n">
        <v>18341</v>
      </c>
      <c r="G64" s="9" t="n">
        <v>0.055</v>
      </c>
      <c r="H64" s="8" t="n">
        <v>17332</v>
      </c>
      <c r="I64" s="6" t="n">
        <v>105</v>
      </c>
      <c r="J64" s="8" t="n">
        <v>1925805</v>
      </c>
      <c r="K64" s="6" t="n">
        <v>347</v>
      </c>
      <c r="L64" s="6" t="n">
        <v>4.6</v>
      </c>
      <c r="M64" s="6" t="s">
        <v>580</v>
      </c>
    </row>
    <row r="65" customFormat="false" ht="15" hidden="false" customHeight="false" outlineLevel="0" collapsed="false">
      <c r="A65" s="6" t="s">
        <v>581</v>
      </c>
      <c r="B65" s="6" t="s">
        <v>81</v>
      </c>
      <c r="C65" s="6" t="s">
        <v>582</v>
      </c>
      <c r="D65" s="8" t="n">
        <v>16027</v>
      </c>
      <c r="E65" s="11" t="n">
        <v>0</v>
      </c>
      <c r="F65" s="8" t="n">
        <v>16027</v>
      </c>
      <c r="G65" s="9" t="n">
        <v>0.055</v>
      </c>
      <c r="H65" s="8" t="n">
        <v>15145</v>
      </c>
      <c r="I65" s="6" t="n">
        <v>195</v>
      </c>
      <c r="J65" s="8" t="n">
        <v>3125265</v>
      </c>
      <c r="K65" s="6" t="n">
        <v>115</v>
      </c>
      <c r="L65" s="6" t="n">
        <v>4.6</v>
      </c>
      <c r="M65" s="6" t="s">
        <v>583</v>
      </c>
    </row>
    <row r="66" customFormat="false" ht="15" hidden="false" customHeight="false" outlineLevel="0" collapsed="false">
      <c r="A66" s="6" t="s">
        <v>584</v>
      </c>
      <c r="B66" s="6" t="s">
        <v>82</v>
      </c>
      <c r="C66" s="6" t="s">
        <v>585</v>
      </c>
      <c r="D66" s="8" t="n">
        <v>22772</v>
      </c>
      <c r="E66" s="11" t="n">
        <v>0.05</v>
      </c>
      <c r="F66" s="8" t="n">
        <v>21633</v>
      </c>
      <c r="G66" s="9" t="n">
        <v>0.055</v>
      </c>
      <c r="H66" s="8" t="n">
        <v>20443</v>
      </c>
      <c r="I66" s="6" t="n">
        <v>318</v>
      </c>
      <c r="J66" s="8" t="n">
        <v>6879294</v>
      </c>
      <c r="K66" s="6" t="n">
        <v>108</v>
      </c>
      <c r="L66" s="6" t="n">
        <v>4.3</v>
      </c>
      <c r="M66" s="6" t="s">
        <v>586</v>
      </c>
    </row>
    <row r="67" customFormat="false" ht="15" hidden="false" customHeight="false" outlineLevel="0" collapsed="false">
      <c r="A67" s="6" t="s">
        <v>587</v>
      </c>
      <c r="B67" s="6" t="s">
        <v>83</v>
      </c>
      <c r="C67" s="6" t="s">
        <v>588</v>
      </c>
      <c r="D67" s="8" t="n">
        <v>32404</v>
      </c>
      <c r="E67" s="11" t="n">
        <v>0.05</v>
      </c>
      <c r="F67" s="8" t="n">
        <v>30783</v>
      </c>
      <c r="G67" s="9" t="n">
        <v>0.055</v>
      </c>
      <c r="H67" s="8" t="n">
        <v>29089</v>
      </c>
      <c r="I67" s="6" t="n">
        <v>304</v>
      </c>
      <c r="J67" s="8" t="n">
        <v>9358032</v>
      </c>
      <c r="K67" s="6" t="n">
        <v>339</v>
      </c>
      <c r="L67" s="6" t="n">
        <v>4.8</v>
      </c>
      <c r="M67" s="6" t="s">
        <v>478</v>
      </c>
    </row>
    <row r="68" customFormat="false" ht="15" hidden="false" customHeight="false" outlineLevel="0" collapsed="false">
      <c r="A68" s="6" t="s">
        <v>589</v>
      </c>
      <c r="B68" s="6" t="s">
        <v>85</v>
      </c>
      <c r="C68" s="6" t="s">
        <v>590</v>
      </c>
      <c r="D68" s="8" t="n">
        <v>37355</v>
      </c>
      <c r="E68" s="11" t="n">
        <v>0.1</v>
      </c>
      <c r="F68" s="8" t="n">
        <v>33619</v>
      </c>
      <c r="G68" s="9" t="n">
        <v>0.055</v>
      </c>
      <c r="H68" s="8" t="n">
        <v>31769</v>
      </c>
      <c r="I68" s="6" t="n">
        <v>138</v>
      </c>
      <c r="J68" s="8" t="n">
        <v>4639422</v>
      </c>
      <c r="K68" s="6" t="n">
        <v>6</v>
      </c>
      <c r="L68" s="6" t="n">
        <v>4.4</v>
      </c>
      <c r="M68" s="6" t="s">
        <v>591</v>
      </c>
    </row>
    <row r="69" customFormat="false" ht="15" hidden="false" customHeight="false" outlineLevel="0" collapsed="false">
      <c r="A69" s="6" t="s">
        <v>592</v>
      </c>
      <c r="B69" s="6" t="s">
        <v>86</v>
      </c>
      <c r="C69" s="6" t="s">
        <v>593</v>
      </c>
      <c r="D69" s="8" t="n">
        <v>31605</v>
      </c>
      <c r="E69" s="11" t="n">
        <v>0.1</v>
      </c>
      <c r="F69" s="8" t="n">
        <v>28444</v>
      </c>
      <c r="G69" s="9" t="n">
        <v>0.055</v>
      </c>
      <c r="H69" s="8" t="n">
        <v>26879</v>
      </c>
      <c r="I69" s="6" t="n">
        <v>122</v>
      </c>
      <c r="J69" s="8" t="n">
        <v>3470168</v>
      </c>
      <c r="K69" s="6" t="n">
        <v>33</v>
      </c>
      <c r="L69" s="6" t="n">
        <v>4.2</v>
      </c>
      <c r="M69" s="6" t="s">
        <v>257</v>
      </c>
    </row>
    <row r="70" customFormat="false" ht="15" hidden="false" customHeight="false" outlineLevel="0" collapsed="false">
      <c r="A70" s="6" t="s">
        <v>594</v>
      </c>
      <c r="B70" s="6" t="s">
        <v>87</v>
      </c>
      <c r="C70" s="6" t="s">
        <v>595</v>
      </c>
      <c r="D70" s="8" t="n">
        <v>26222</v>
      </c>
      <c r="E70" s="11" t="n">
        <v>0</v>
      </c>
      <c r="F70" s="8" t="n">
        <v>26222</v>
      </c>
      <c r="G70" s="9" t="n">
        <v>0.055</v>
      </c>
      <c r="H70" s="8" t="n">
        <v>24779</v>
      </c>
      <c r="I70" s="6" t="n">
        <v>96</v>
      </c>
      <c r="J70" s="8" t="n">
        <v>2517312</v>
      </c>
      <c r="K70" s="6" t="n">
        <v>232</v>
      </c>
      <c r="L70" s="6" t="n">
        <v>4.3</v>
      </c>
      <c r="M70" s="6" t="s">
        <v>309</v>
      </c>
    </row>
    <row r="71" customFormat="false" ht="15" hidden="false" customHeight="false" outlineLevel="0" collapsed="false">
      <c r="A71" s="6" t="s">
        <v>596</v>
      </c>
      <c r="B71" s="6" t="s">
        <v>88</v>
      </c>
      <c r="C71" s="6" t="s">
        <v>597</v>
      </c>
      <c r="D71" s="8" t="n">
        <v>40835</v>
      </c>
      <c r="E71" s="11" t="n">
        <v>0.05</v>
      </c>
      <c r="F71" s="8" t="n">
        <v>38793</v>
      </c>
      <c r="G71" s="9" t="n">
        <v>0.055</v>
      </c>
      <c r="H71" s="8" t="n">
        <v>36659</v>
      </c>
      <c r="I71" s="6" t="n">
        <v>44</v>
      </c>
      <c r="J71" s="8" t="n">
        <v>1706892</v>
      </c>
      <c r="K71" s="6" t="n">
        <v>186</v>
      </c>
      <c r="L71" s="6" t="n">
        <v>4.3</v>
      </c>
      <c r="M71" s="6" t="s">
        <v>598</v>
      </c>
    </row>
    <row r="72" customFormat="false" ht="15" hidden="false" customHeight="false" outlineLevel="0" collapsed="false">
      <c r="A72" s="6" t="s">
        <v>599</v>
      </c>
      <c r="B72" s="6" t="s">
        <v>89</v>
      </c>
      <c r="C72" s="6" t="s">
        <v>600</v>
      </c>
      <c r="D72" s="8" t="n">
        <v>9254</v>
      </c>
      <c r="E72" s="11" t="n">
        <v>0.05</v>
      </c>
      <c r="F72" s="8" t="n">
        <v>8791</v>
      </c>
      <c r="G72" s="9" t="n">
        <v>0.055</v>
      </c>
      <c r="H72" s="8" t="n">
        <v>8307</v>
      </c>
      <c r="I72" s="6" t="n">
        <v>99</v>
      </c>
      <c r="J72" s="8" t="n">
        <v>870309</v>
      </c>
      <c r="K72" s="6" t="n">
        <v>280</v>
      </c>
      <c r="L72" s="6" t="n">
        <v>4.6</v>
      </c>
      <c r="M72" s="6" t="s">
        <v>601</v>
      </c>
    </row>
    <row r="73" customFormat="false" ht="15" hidden="false" customHeight="false" outlineLevel="0" collapsed="false">
      <c r="A73" s="6" t="s">
        <v>602</v>
      </c>
      <c r="B73" s="6" t="s">
        <v>90</v>
      </c>
      <c r="C73" s="6" t="s">
        <v>603</v>
      </c>
      <c r="D73" s="8" t="n">
        <v>9657</v>
      </c>
      <c r="E73" s="11" t="n">
        <v>0.15</v>
      </c>
      <c r="F73" s="8" t="n">
        <v>8208</v>
      </c>
      <c r="G73" s="9" t="n">
        <v>0.055</v>
      </c>
      <c r="H73" s="8" t="n">
        <v>7756</v>
      </c>
      <c r="I73" s="6" t="n">
        <v>396</v>
      </c>
      <c r="J73" s="8" t="n">
        <v>3250368</v>
      </c>
      <c r="K73" s="6" t="n">
        <v>180</v>
      </c>
      <c r="L73" s="6" t="n">
        <v>4.2</v>
      </c>
      <c r="M73" s="6" t="s">
        <v>604</v>
      </c>
    </row>
    <row r="74" customFormat="false" ht="15" hidden="false" customHeight="false" outlineLevel="0" collapsed="false">
      <c r="A74" s="6" t="s">
        <v>605</v>
      </c>
      <c r="B74" s="6" t="s">
        <v>25</v>
      </c>
      <c r="C74" s="6" t="s">
        <v>606</v>
      </c>
      <c r="D74" s="8" t="n">
        <v>8084</v>
      </c>
      <c r="E74" s="11" t="n">
        <v>0.05</v>
      </c>
      <c r="F74" s="8" t="n">
        <v>7679</v>
      </c>
      <c r="G74" s="9" t="n">
        <v>0.055</v>
      </c>
      <c r="H74" s="8" t="n">
        <v>7256</v>
      </c>
      <c r="I74" s="6" t="n">
        <v>271</v>
      </c>
      <c r="J74" s="8" t="n">
        <v>2081009</v>
      </c>
      <c r="K74" s="6" t="n">
        <v>25</v>
      </c>
      <c r="L74" s="6" t="n">
        <v>4.1</v>
      </c>
      <c r="M74" s="6" t="s">
        <v>607</v>
      </c>
    </row>
    <row r="75" customFormat="false" ht="15" hidden="false" customHeight="false" outlineLevel="0" collapsed="false">
      <c r="A75" s="6" t="s">
        <v>608</v>
      </c>
      <c r="B75" s="6" t="s">
        <v>26</v>
      </c>
      <c r="C75" s="6" t="s">
        <v>609</v>
      </c>
      <c r="D75" s="8" t="n">
        <v>6626</v>
      </c>
      <c r="E75" s="11" t="n">
        <v>0.15</v>
      </c>
      <c r="F75" s="8" t="n">
        <v>5632</v>
      </c>
      <c r="G75" s="9" t="n">
        <v>0.055</v>
      </c>
      <c r="H75" s="8" t="n">
        <v>5322</v>
      </c>
      <c r="I75" s="6" t="n">
        <v>274</v>
      </c>
      <c r="J75" s="8" t="n">
        <v>1543168</v>
      </c>
      <c r="K75" s="6" t="n">
        <v>291</v>
      </c>
      <c r="L75" s="6" t="n">
        <v>4.7</v>
      </c>
      <c r="M75" s="6" t="s">
        <v>610</v>
      </c>
    </row>
    <row r="76" customFormat="false" ht="15" hidden="false" customHeight="false" outlineLevel="0" collapsed="false">
      <c r="A76" s="6" t="s">
        <v>611</v>
      </c>
      <c r="B76" s="6" t="s">
        <v>27</v>
      </c>
      <c r="C76" s="6" t="s">
        <v>612</v>
      </c>
      <c r="D76" s="8" t="n">
        <v>8567</v>
      </c>
      <c r="E76" s="11" t="n">
        <v>0.1</v>
      </c>
      <c r="F76" s="8" t="n">
        <v>7710</v>
      </c>
      <c r="G76" s="9" t="n">
        <v>0.055</v>
      </c>
      <c r="H76" s="8" t="n">
        <v>7285</v>
      </c>
      <c r="I76" s="6" t="n">
        <v>188</v>
      </c>
      <c r="J76" s="8" t="n">
        <v>1449480</v>
      </c>
      <c r="K76" s="6" t="n">
        <v>280</v>
      </c>
      <c r="L76" s="6" t="n">
        <v>4.7</v>
      </c>
      <c r="M76" s="6" t="s">
        <v>484</v>
      </c>
    </row>
    <row r="77" customFormat="false" ht="15" hidden="false" customHeight="false" outlineLevel="0" collapsed="false">
      <c r="A77" s="6" t="s">
        <v>613</v>
      </c>
      <c r="B77" s="6" t="s">
        <v>28</v>
      </c>
      <c r="C77" s="6" t="s">
        <v>614</v>
      </c>
      <c r="D77" s="8" t="n">
        <v>8637</v>
      </c>
      <c r="E77" s="11" t="n">
        <v>0.1</v>
      </c>
      <c r="F77" s="8" t="n">
        <v>7773</v>
      </c>
      <c r="G77" s="9" t="n">
        <v>0.055</v>
      </c>
      <c r="H77" s="8" t="n">
        <v>7345</v>
      </c>
      <c r="I77" s="6" t="n">
        <v>228</v>
      </c>
      <c r="J77" s="8" t="n">
        <v>1772244</v>
      </c>
      <c r="K77" s="6" t="n">
        <v>298</v>
      </c>
      <c r="L77" s="6" t="n">
        <v>4.5</v>
      </c>
      <c r="M77" s="6" t="s">
        <v>615</v>
      </c>
    </row>
    <row r="78" customFormat="false" ht="15" hidden="false" customHeight="false" outlineLevel="0" collapsed="false">
      <c r="A78" s="6" t="s">
        <v>616</v>
      </c>
      <c r="B78" s="6" t="s">
        <v>29</v>
      </c>
      <c r="C78" s="6" t="s">
        <v>617</v>
      </c>
      <c r="D78" s="8" t="n">
        <v>11827</v>
      </c>
      <c r="E78" s="11" t="n">
        <v>0.15</v>
      </c>
      <c r="F78" s="8" t="n">
        <v>10052</v>
      </c>
      <c r="G78" s="9" t="n">
        <v>0.055</v>
      </c>
      <c r="H78" s="8" t="n">
        <v>9499</v>
      </c>
      <c r="I78" s="6" t="n">
        <v>138</v>
      </c>
      <c r="J78" s="8" t="n">
        <v>1387176</v>
      </c>
      <c r="K78" s="6" t="n">
        <v>154</v>
      </c>
      <c r="L78" s="6" t="n">
        <v>4.3</v>
      </c>
      <c r="M78" s="6" t="s">
        <v>618</v>
      </c>
    </row>
    <row r="79" customFormat="false" ht="15" hidden="false" customHeight="false" outlineLevel="0" collapsed="false">
      <c r="A79" s="6" t="s">
        <v>619</v>
      </c>
      <c r="B79" s="6" t="s">
        <v>30</v>
      </c>
      <c r="C79" s="6" t="s">
        <v>620</v>
      </c>
      <c r="D79" s="8" t="n">
        <v>13146</v>
      </c>
      <c r="E79" s="11" t="n">
        <v>0.1</v>
      </c>
      <c r="F79" s="8" t="n">
        <v>11831</v>
      </c>
      <c r="G79" s="9" t="n">
        <v>0.055</v>
      </c>
      <c r="H79" s="8" t="n">
        <v>11180</v>
      </c>
      <c r="I79" s="6" t="n">
        <v>91</v>
      </c>
      <c r="J79" s="8" t="n">
        <v>1076621</v>
      </c>
      <c r="K79" s="6" t="n">
        <v>110</v>
      </c>
      <c r="L79" s="6" t="n">
        <v>4.7</v>
      </c>
      <c r="M79" s="6" t="s">
        <v>213</v>
      </c>
    </row>
    <row r="80" customFormat="false" ht="15" hidden="false" customHeight="false" outlineLevel="0" collapsed="false">
      <c r="A80" s="6" t="s">
        <v>621</v>
      </c>
      <c r="B80" s="6" t="s">
        <v>31</v>
      </c>
      <c r="C80" s="6" t="s">
        <v>622</v>
      </c>
      <c r="D80" s="8" t="n">
        <v>11830</v>
      </c>
      <c r="E80" s="11" t="n">
        <v>0</v>
      </c>
      <c r="F80" s="8" t="n">
        <v>11830</v>
      </c>
      <c r="G80" s="9" t="n">
        <v>0.055</v>
      </c>
      <c r="H80" s="8" t="n">
        <v>11179</v>
      </c>
      <c r="I80" s="6" t="n">
        <v>179</v>
      </c>
      <c r="J80" s="8" t="n">
        <v>2117570</v>
      </c>
      <c r="K80" s="6" t="n">
        <v>336</v>
      </c>
      <c r="L80" s="6" t="n">
        <v>4.6</v>
      </c>
      <c r="M80" s="6" t="s">
        <v>623</v>
      </c>
    </row>
    <row r="81" customFormat="false" ht="15" hidden="false" customHeight="false" outlineLevel="0" collapsed="false">
      <c r="A81" s="6" t="s">
        <v>624</v>
      </c>
      <c r="B81" s="6" t="s">
        <v>32</v>
      </c>
      <c r="C81" s="6" t="s">
        <v>625</v>
      </c>
      <c r="D81" s="8" t="n">
        <v>14230</v>
      </c>
      <c r="E81" s="11" t="n">
        <v>0.1</v>
      </c>
      <c r="F81" s="8" t="n">
        <v>12807</v>
      </c>
      <c r="G81" s="9" t="n">
        <v>0.055</v>
      </c>
      <c r="H81" s="8" t="n">
        <v>12102</v>
      </c>
      <c r="I81" s="6" t="n">
        <v>318</v>
      </c>
      <c r="J81" s="8" t="n">
        <v>4072626</v>
      </c>
      <c r="K81" s="6" t="n">
        <v>307</v>
      </c>
      <c r="L81" s="6" t="n">
        <v>4.9</v>
      </c>
      <c r="M81" s="6" t="s">
        <v>626</v>
      </c>
    </row>
    <row r="82" customFormat="false" ht="15" hidden="false" customHeight="false" outlineLevel="0" collapsed="false">
      <c r="A82" s="6" t="s">
        <v>627</v>
      </c>
      <c r="B82" s="6" t="s">
        <v>34</v>
      </c>
      <c r="C82" s="6" t="s">
        <v>628</v>
      </c>
      <c r="D82" s="8" t="n">
        <v>20107</v>
      </c>
      <c r="E82" s="11" t="n">
        <v>0.05</v>
      </c>
      <c r="F82" s="8" t="n">
        <v>19101</v>
      </c>
      <c r="G82" s="9" t="n">
        <v>0.055</v>
      </c>
      <c r="H82" s="8" t="n">
        <v>18050</v>
      </c>
      <c r="I82" s="6" t="n">
        <v>376</v>
      </c>
      <c r="J82" s="8" t="n">
        <v>7181976</v>
      </c>
      <c r="K82" s="6" t="n">
        <v>50</v>
      </c>
      <c r="L82" s="6" t="n">
        <v>4.5</v>
      </c>
      <c r="M82" s="6" t="s">
        <v>629</v>
      </c>
    </row>
    <row r="83" customFormat="false" ht="15" hidden="false" customHeight="false" outlineLevel="0" collapsed="false">
      <c r="A83" s="6" t="s">
        <v>630</v>
      </c>
      <c r="B83" s="6" t="s">
        <v>35</v>
      </c>
      <c r="C83" s="6" t="s">
        <v>631</v>
      </c>
      <c r="D83" s="8" t="n">
        <v>8304</v>
      </c>
      <c r="E83" s="11" t="n">
        <v>0.15</v>
      </c>
      <c r="F83" s="8" t="n">
        <v>7058</v>
      </c>
      <c r="G83" s="9" t="n">
        <v>0.055</v>
      </c>
      <c r="H83" s="8" t="n">
        <v>6669</v>
      </c>
      <c r="I83" s="6" t="n">
        <v>65</v>
      </c>
      <c r="J83" s="8" t="n">
        <v>458770</v>
      </c>
      <c r="K83" s="6" t="n">
        <v>20</v>
      </c>
      <c r="L83" s="6" t="n">
        <v>4.5</v>
      </c>
      <c r="M83" s="6" t="s">
        <v>632</v>
      </c>
    </row>
    <row r="84" customFormat="false" ht="15" hidden="false" customHeight="false" outlineLevel="0" collapsed="false">
      <c r="A84" s="6" t="s">
        <v>633</v>
      </c>
      <c r="B84" s="6" t="s">
        <v>36</v>
      </c>
      <c r="C84" s="6" t="s">
        <v>634</v>
      </c>
      <c r="D84" s="8" t="n">
        <v>21913</v>
      </c>
      <c r="E84" s="11" t="n">
        <v>0</v>
      </c>
      <c r="F84" s="8" t="n">
        <v>21913</v>
      </c>
      <c r="G84" s="9" t="n">
        <v>0.055</v>
      </c>
      <c r="H84" s="8" t="n">
        <v>20707</v>
      </c>
      <c r="I84" s="6" t="n">
        <v>26</v>
      </c>
      <c r="J84" s="8" t="n">
        <v>569738</v>
      </c>
      <c r="K84" s="6" t="n">
        <v>267</v>
      </c>
      <c r="L84" s="6" t="n">
        <v>4.7</v>
      </c>
      <c r="M84" s="6" t="s">
        <v>635</v>
      </c>
    </row>
    <row r="85" customFormat="false" ht="15" hidden="false" customHeight="false" outlineLevel="0" collapsed="false">
      <c r="A85" s="6" t="s">
        <v>636</v>
      </c>
      <c r="B85" s="6" t="s">
        <v>37</v>
      </c>
      <c r="C85" s="6" t="s">
        <v>637</v>
      </c>
      <c r="D85" s="8" t="n">
        <v>32667</v>
      </c>
      <c r="E85" s="11" t="n">
        <v>0.05</v>
      </c>
      <c r="F85" s="8" t="n">
        <v>31033</v>
      </c>
      <c r="G85" s="9" t="n">
        <v>0.055</v>
      </c>
      <c r="H85" s="8" t="n">
        <v>29326</v>
      </c>
      <c r="I85" s="6" t="n">
        <v>166</v>
      </c>
      <c r="J85" s="8" t="n">
        <v>5151478</v>
      </c>
      <c r="K85" s="6" t="n">
        <v>315</v>
      </c>
      <c r="L85" s="6" t="n">
        <v>4.1</v>
      </c>
      <c r="M85" s="6" t="s">
        <v>323</v>
      </c>
    </row>
    <row r="86" customFormat="false" ht="15" hidden="false" customHeight="false" outlineLevel="0" collapsed="false">
      <c r="A86" s="6" t="s">
        <v>638</v>
      </c>
      <c r="B86" s="6" t="s">
        <v>38</v>
      </c>
      <c r="C86" s="6" t="s">
        <v>639</v>
      </c>
      <c r="D86" s="8" t="n">
        <v>50674</v>
      </c>
      <c r="E86" s="11" t="n">
        <v>0.05</v>
      </c>
      <c r="F86" s="8" t="n">
        <v>48140</v>
      </c>
      <c r="G86" s="9" t="n">
        <v>0.055</v>
      </c>
      <c r="H86" s="8" t="n">
        <v>45492</v>
      </c>
      <c r="I86" s="6" t="n">
        <v>392</v>
      </c>
      <c r="J86" s="8" t="n">
        <v>18870880</v>
      </c>
      <c r="K86" s="6" t="n">
        <v>143</v>
      </c>
      <c r="L86" s="6" t="n">
        <v>4.4</v>
      </c>
      <c r="M86" s="6" t="s">
        <v>640</v>
      </c>
    </row>
    <row r="87" customFormat="false" ht="15" hidden="false" customHeight="false" outlineLevel="0" collapsed="false">
      <c r="A87" s="6" t="s">
        <v>641</v>
      </c>
      <c r="B87" s="6" t="s">
        <v>39</v>
      </c>
      <c r="C87" s="6" t="s">
        <v>642</v>
      </c>
      <c r="D87" s="8" t="n">
        <v>39099</v>
      </c>
      <c r="E87" s="11" t="n">
        <v>0.05</v>
      </c>
      <c r="F87" s="8" t="n">
        <v>37144</v>
      </c>
      <c r="G87" s="9" t="n">
        <v>0.055</v>
      </c>
      <c r="H87" s="8" t="n">
        <v>35101</v>
      </c>
      <c r="I87" s="6" t="n">
        <v>300</v>
      </c>
      <c r="J87" s="8" t="n">
        <v>11143200</v>
      </c>
      <c r="K87" s="6" t="n">
        <v>63</v>
      </c>
      <c r="L87" s="6" t="n">
        <v>4.9</v>
      </c>
      <c r="M87" s="6" t="s">
        <v>643</v>
      </c>
    </row>
    <row r="88" customFormat="false" ht="15" hidden="false" customHeight="false" outlineLevel="0" collapsed="false">
      <c r="A88" s="6" t="s">
        <v>644</v>
      </c>
      <c r="B88" s="6" t="s">
        <v>40</v>
      </c>
      <c r="C88" s="6" t="s">
        <v>645</v>
      </c>
      <c r="D88" s="8" t="n">
        <v>46825</v>
      </c>
      <c r="E88" s="11" t="n">
        <v>0.15</v>
      </c>
      <c r="F88" s="8" t="n">
        <v>39801</v>
      </c>
      <c r="G88" s="9" t="n">
        <v>0.055</v>
      </c>
      <c r="H88" s="8" t="n">
        <v>37611</v>
      </c>
      <c r="I88" s="6" t="n">
        <v>120</v>
      </c>
      <c r="J88" s="8" t="n">
        <v>4776120</v>
      </c>
      <c r="K88" s="6" t="n">
        <v>123</v>
      </c>
      <c r="L88" s="6" t="n">
        <v>4.7</v>
      </c>
      <c r="M88" s="6" t="s">
        <v>646</v>
      </c>
    </row>
    <row r="89" customFormat="false" ht="15" hidden="false" customHeight="false" outlineLevel="0" collapsed="false">
      <c r="A89" s="6" t="s">
        <v>647</v>
      </c>
      <c r="B89" s="6" t="s">
        <v>41</v>
      </c>
      <c r="C89" s="6" t="s">
        <v>648</v>
      </c>
      <c r="D89" s="8" t="n">
        <v>43482</v>
      </c>
      <c r="E89" s="11" t="n">
        <v>0.05</v>
      </c>
      <c r="F89" s="8" t="n">
        <v>41307</v>
      </c>
      <c r="G89" s="9" t="n">
        <v>0.055</v>
      </c>
      <c r="H89" s="8" t="n">
        <v>39035</v>
      </c>
      <c r="I89" s="6" t="n">
        <v>342</v>
      </c>
      <c r="J89" s="8" t="n">
        <v>14126994</v>
      </c>
      <c r="K89" s="6" t="n">
        <v>149</v>
      </c>
      <c r="L89" s="6" t="n">
        <v>4.8</v>
      </c>
      <c r="M89" s="6" t="s">
        <v>649</v>
      </c>
    </row>
    <row r="90" customFormat="false" ht="15" hidden="false" customHeight="false" outlineLevel="0" collapsed="false">
      <c r="A90" s="6" t="s">
        <v>650</v>
      </c>
      <c r="B90" s="6" t="s">
        <v>42</v>
      </c>
      <c r="C90" s="6" t="s">
        <v>651</v>
      </c>
      <c r="D90" s="8" t="n">
        <v>73062</v>
      </c>
      <c r="E90" s="11" t="n">
        <v>0</v>
      </c>
      <c r="F90" s="8" t="n">
        <v>73062</v>
      </c>
      <c r="G90" s="9" t="n">
        <v>0.055</v>
      </c>
      <c r="H90" s="8" t="n">
        <v>69043</v>
      </c>
      <c r="I90" s="6" t="n">
        <v>296</v>
      </c>
      <c r="J90" s="8" t="n">
        <v>21626352</v>
      </c>
      <c r="K90" s="6" t="n">
        <v>300</v>
      </c>
      <c r="L90" s="6" t="n">
        <v>4.6</v>
      </c>
      <c r="M90" s="6" t="s">
        <v>652</v>
      </c>
    </row>
    <row r="91" customFormat="false" ht="15" hidden="false" customHeight="false" outlineLevel="0" collapsed="false">
      <c r="A91" s="6" t="s">
        <v>653</v>
      </c>
      <c r="B91" s="6" t="s">
        <v>45</v>
      </c>
      <c r="C91" s="6" t="s">
        <v>654</v>
      </c>
      <c r="D91" s="8" t="n">
        <v>36075</v>
      </c>
      <c r="E91" s="11" t="n">
        <v>0</v>
      </c>
      <c r="F91" s="8" t="n">
        <v>36075</v>
      </c>
      <c r="G91" s="9" t="n">
        <v>0.055</v>
      </c>
      <c r="H91" s="8" t="n">
        <v>34090</v>
      </c>
      <c r="I91" s="6" t="n">
        <v>399</v>
      </c>
      <c r="J91" s="8" t="n">
        <v>14393925</v>
      </c>
      <c r="K91" s="6" t="n">
        <v>4</v>
      </c>
      <c r="L91" s="6" t="n">
        <v>4.6</v>
      </c>
      <c r="M91" s="6" t="s">
        <v>655</v>
      </c>
    </row>
    <row r="92" customFormat="false" ht="15" hidden="false" customHeight="false" outlineLevel="0" collapsed="false">
      <c r="A92" s="6" t="s">
        <v>656</v>
      </c>
      <c r="B92" s="6" t="s">
        <v>46</v>
      </c>
      <c r="C92" s="6" t="s">
        <v>657</v>
      </c>
      <c r="D92" s="8" t="n">
        <v>29070</v>
      </c>
      <c r="E92" s="11" t="n">
        <v>0.1</v>
      </c>
      <c r="F92" s="8" t="n">
        <v>26163</v>
      </c>
      <c r="G92" s="9" t="n">
        <v>0.055</v>
      </c>
      <c r="H92" s="8" t="n">
        <v>24724</v>
      </c>
      <c r="I92" s="6" t="n">
        <v>306</v>
      </c>
      <c r="J92" s="8" t="n">
        <v>8005878</v>
      </c>
      <c r="K92" s="6" t="n">
        <v>225</v>
      </c>
      <c r="L92" s="6" t="n">
        <v>4.2</v>
      </c>
      <c r="M92" s="6" t="s">
        <v>658</v>
      </c>
    </row>
    <row r="93" customFormat="false" ht="15" hidden="false" customHeight="false" outlineLevel="0" collapsed="false">
      <c r="A93" s="6" t="s">
        <v>659</v>
      </c>
      <c r="B93" s="6" t="s">
        <v>47</v>
      </c>
      <c r="C93" s="6" t="s">
        <v>660</v>
      </c>
      <c r="D93" s="8" t="n">
        <v>53069</v>
      </c>
      <c r="E93" s="11" t="n">
        <v>0.1</v>
      </c>
      <c r="F93" s="8" t="n">
        <v>47762</v>
      </c>
      <c r="G93" s="9" t="n">
        <v>0.055</v>
      </c>
      <c r="H93" s="8" t="n">
        <v>45135</v>
      </c>
      <c r="I93" s="6" t="n">
        <v>306</v>
      </c>
      <c r="J93" s="8" t="n">
        <v>14615172</v>
      </c>
      <c r="K93" s="6" t="n">
        <v>222</v>
      </c>
      <c r="L93" s="6" t="n">
        <v>4.4</v>
      </c>
      <c r="M93" s="6" t="s">
        <v>661</v>
      </c>
    </row>
    <row r="94" customFormat="false" ht="15" hidden="false" customHeight="false" outlineLevel="0" collapsed="false">
      <c r="A94" s="6" t="s">
        <v>662</v>
      </c>
      <c r="B94" s="6" t="s">
        <v>48</v>
      </c>
      <c r="C94" s="6" t="s">
        <v>663</v>
      </c>
      <c r="D94" s="8" t="n">
        <v>56411</v>
      </c>
      <c r="E94" s="11" t="n">
        <v>0.05</v>
      </c>
      <c r="F94" s="8" t="n">
        <v>53590</v>
      </c>
      <c r="G94" s="9" t="n">
        <v>0.055</v>
      </c>
      <c r="H94" s="8" t="n">
        <v>50642</v>
      </c>
      <c r="I94" s="6" t="n">
        <v>448</v>
      </c>
      <c r="J94" s="8" t="n">
        <v>24008320</v>
      </c>
      <c r="K94" s="6" t="n">
        <v>99</v>
      </c>
      <c r="L94" s="6" t="n">
        <v>4.8</v>
      </c>
      <c r="M94" s="6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8"/>
    <col collapsed="false" customWidth="true" hidden="false" outlineLevel="0" max="13" min="13" style="0" width="6"/>
  </cols>
  <sheetData>
    <row r="1" customFormat="false" ht="15" hidden="false" customHeight="false" outlineLevel="0" collapsed="false">
      <c r="A1" s="5" t="s">
        <v>664</v>
      </c>
      <c r="B1" s="5" t="s">
        <v>0</v>
      </c>
      <c r="C1" s="5" t="s">
        <v>389</v>
      </c>
      <c r="D1" s="5" t="s">
        <v>390</v>
      </c>
      <c r="E1" s="5" t="s">
        <v>665</v>
      </c>
      <c r="F1" s="5" t="s">
        <v>391</v>
      </c>
      <c r="G1" s="5" t="s">
        <v>392</v>
      </c>
      <c r="H1" s="5" t="s">
        <v>393</v>
      </c>
      <c r="I1" s="5" t="s">
        <v>394</v>
      </c>
      <c r="J1" s="10" t="s">
        <v>395</v>
      </c>
      <c r="K1" s="10" t="s">
        <v>396</v>
      </c>
      <c r="L1" s="5" t="s">
        <v>397</v>
      </c>
      <c r="M1" s="5" t="s">
        <v>398</v>
      </c>
    </row>
    <row r="2" customFormat="false" ht="15" hidden="false" customHeight="false" outlineLevel="0" collapsed="false">
      <c r="A2" s="6" t="s">
        <v>666</v>
      </c>
      <c r="B2" s="6" t="s">
        <v>50</v>
      </c>
      <c r="C2" s="7" t="s">
        <v>667</v>
      </c>
      <c r="D2" s="8" t="n">
        <v>9114</v>
      </c>
      <c r="E2" s="6" t="s">
        <v>668</v>
      </c>
      <c r="F2" s="11" t="n">
        <v>0.05</v>
      </c>
      <c r="G2" s="8" t="n">
        <v>8658</v>
      </c>
      <c r="H2" s="9" t="n">
        <v>0.065</v>
      </c>
      <c r="I2" s="8" t="n">
        <v>8095</v>
      </c>
      <c r="J2" s="6" t="n">
        <v>103</v>
      </c>
      <c r="K2" s="8" t="n">
        <v>891774</v>
      </c>
      <c r="L2" s="6" t="n">
        <v>9</v>
      </c>
      <c r="M2" s="6" t="n">
        <v>4.6</v>
      </c>
    </row>
    <row r="3" customFormat="false" ht="15" hidden="false" customHeight="false" outlineLevel="0" collapsed="false">
      <c r="A3" s="6" t="s">
        <v>669</v>
      </c>
      <c r="B3" s="6" t="s">
        <v>52</v>
      </c>
      <c r="C3" s="7" t="s">
        <v>670</v>
      </c>
      <c r="D3" s="8" t="n">
        <v>8910</v>
      </c>
      <c r="E3" s="6" t="s">
        <v>671</v>
      </c>
      <c r="F3" s="11" t="n">
        <v>0.15</v>
      </c>
      <c r="G3" s="8" t="n">
        <v>7573</v>
      </c>
      <c r="H3" s="9" t="n">
        <v>0.108</v>
      </c>
      <c r="I3" s="8" t="n">
        <v>6755</v>
      </c>
      <c r="J3" s="6" t="n">
        <v>426</v>
      </c>
      <c r="K3" s="8" t="n">
        <v>3226098</v>
      </c>
      <c r="L3" s="6" t="n">
        <v>138</v>
      </c>
      <c r="M3" s="6" t="n">
        <v>4.6</v>
      </c>
    </row>
    <row r="4" customFormat="false" ht="15" hidden="false" customHeight="false" outlineLevel="0" collapsed="false">
      <c r="A4" s="6" t="s">
        <v>672</v>
      </c>
      <c r="B4" s="6" t="s">
        <v>53</v>
      </c>
      <c r="C4" s="7" t="s">
        <v>673</v>
      </c>
      <c r="D4" s="8" t="n">
        <v>10100</v>
      </c>
      <c r="E4" s="6" t="s">
        <v>671</v>
      </c>
      <c r="F4" s="11" t="n">
        <v>0.05</v>
      </c>
      <c r="G4" s="8" t="n">
        <v>9595</v>
      </c>
      <c r="H4" s="9" t="n">
        <v>0.108</v>
      </c>
      <c r="I4" s="8" t="n">
        <v>8558</v>
      </c>
      <c r="J4" s="6" t="n">
        <v>110</v>
      </c>
      <c r="K4" s="8" t="n">
        <v>1055450</v>
      </c>
      <c r="L4" s="6" t="n">
        <v>23</v>
      </c>
      <c r="M4" s="6" t="n">
        <v>4.2</v>
      </c>
    </row>
    <row r="5" customFormat="false" ht="15" hidden="false" customHeight="false" outlineLevel="0" collapsed="false">
      <c r="A5" s="6" t="s">
        <v>674</v>
      </c>
      <c r="B5" s="6" t="s">
        <v>54</v>
      </c>
      <c r="C5" s="7" t="s">
        <v>675</v>
      </c>
      <c r="D5" s="8" t="n">
        <v>9044</v>
      </c>
      <c r="E5" s="6" t="s">
        <v>668</v>
      </c>
      <c r="F5" s="11" t="n">
        <v>0.05</v>
      </c>
      <c r="G5" s="8" t="n">
        <v>8591</v>
      </c>
      <c r="H5" s="9" t="n">
        <v>0.065</v>
      </c>
      <c r="I5" s="8" t="n">
        <v>8032</v>
      </c>
      <c r="J5" s="6" t="n">
        <v>132</v>
      </c>
      <c r="K5" s="8" t="n">
        <v>1134012</v>
      </c>
      <c r="L5" s="6" t="n">
        <v>152</v>
      </c>
      <c r="M5" s="6" t="n">
        <v>4.8</v>
      </c>
    </row>
    <row r="6" customFormat="false" ht="15" hidden="false" customHeight="false" outlineLevel="0" collapsed="false">
      <c r="A6" s="6" t="s">
        <v>676</v>
      </c>
      <c r="B6" s="6" t="s">
        <v>55</v>
      </c>
      <c r="C6" s="7" t="s">
        <v>677</v>
      </c>
      <c r="D6" s="8" t="n">
        <v>9454</v>
      </c>
      <c r="E6" s="6" t="s">
        <v>668</v>
      </c>
      <c r="F6" s="11" t="n">
        <v>0</v>
      </c>
      <c r="G6" s="8" t="n">
        <v>9454</v>
      </c>
      <c r="H6" s="9" t="n">
        <v>0.065</v>
      </c>
      <c r="I6" s="8" t="n">
        <v>8839</v>
      </c>
      <c r="J6" s="6" t="n">
        <v>17</v>
      </c>
      <c r="K6" s="8" t="n">
        <v>160718</v>
      </c>
      <c r="L6" s="6" t="n">
        <v>306</v>
      </c>
      <c r="M6" s="6" t="n">
        <v>4.5</v>
      </c>
    </row>
    <row r="7" customFormat="false" ht="15" hidden="false" customHeight="false" outlineLevel="0" collapsed="false">
      <c r="A7" s="6" t="s">
        <v>678</v>
      </c>
      <c r="B7" s="6" t="s">
        <v>56</v>
      </c>
      <c r="C7" s="7" t="s">
        <v>679</v>
      </c>
      <c r="D7" s="8" t="n">
        <v>9648</v>
      </c>
      <c r="E7" s="6" t="s">
        <v>671</v>
      </c>
      <c r="F7" s="11" t="n">
        <v>0.05</v>
      </c>
      <c r="G7" s="8" t="n">
        <v>9165</v>
      </c>
      <c r="H7" s="9" t="n">
        <v>0.108</v>
      </c>
      <c r="I7" s="8" t="n">
        <v>8175</v>
      </c>
      <c r="J7" s="6" t="n">
        <v>559</v>
      </c>
      <c r="K7" s="8" t="n">
        <v>5123235</v>
      </c>
      <c r="L7" s="6" t="n">
        <v>367</v>
      </c>
      <c r="M7" s="6" t="n">
        <v>4.1</v>
      </c>
    </row>
    <row r="8" customFormat="false" ht="15" hidden="false" customHeight="false" outlineLevel="0" collapsed="false">
      <c r="A8" s="6" t="s">
        <v>680</v>
      </c>
      <c r="B8" s="6" t="s">
        <v>57</v>
      </c>
      <c r="C8" s="7" t="s">
        <v>681</v>
      </c>
      <c r="D8" s="8" t="n">
        <v>9913</v>
      </c>
      <c r="E8" s="6" t="s">
        <v>668</v>
      </c>
      <c r="F8" s="11" t="n">
        <v>0.05</v>
      </c>
      <c r="G8" s="8" t="n">
        <v>9417</v>
      </c>
      <c r="H8" s="9" t="n">
        <v>0.065</v>
      </c>
      <c r="I8" s="8" t="n">
        <v>8804</v>
      </c>
      <c r="J8" s="6" t="n">
        <v>193</v>
      </c>
      <c r="K8" s="8" t="n">
        <v>1817481</v>
      </c>
      <c r="L8" s="6" t="n">
        <v>140</v>
      </c>
      <c r="M8" s="6" t="n">
        <v>4.4</v>
      </c>
    </row>
    <row r="9" customFormat="false" ht="15" hidden="false" customHeight="false" outlineLevel="0" collapsed="false">
      <c r="A9" s="6" t="s">
        <v>682</v>
      </c>
      <c r="B9" s="6" t="s">
        <v>58</v>
      </c>
      <c r="C9" s="7" t="s">
        <v>683</v>
      </c>
      <c r="D9" s="8" t="n">
        <v>18684</v>
      </c>
      <c r="E9" s="6" t="s">
        <v>671</v>
      </c>
      <c r="F9" s="11" t="n">
        <v>0.05</v>
      </c>
      <c r="G9" s="8" t="n">
        <v>17749</v>
      </c>
      <c r="H9" s="9" t="n">
        <v>0.108</v>
      </c>
      <c r="I9" s="8" t="n">
        <v>15832</v>
      </c>
      <c r="J9" s="6" t="n">
        <v>119</v>
      </c>
      <c r="K9" s="8" t="n">
        <v>2112131</v>
      </c>
      <c r="L9" s="6" t="n">
        <v>164</v>
      </c>
      <c r="M9" s="6" t="n">
        <v>4.4</v>
      </c>
    </row>
    <row r="10" customFormat="false" ht="15" hidden="false" customHeight="false" outlineLevel="0" collapsed="false">
      <c r="A10" s="6" t="s">
        <v>684</v>
      </c>
      <c r="B10" s="6" t="s">
        <v>59</v>
      </c>
      <c r="C10" s="7" t="s">
        <v>685</v>
      </c>
      <c r="D10" s="8" t="n">
        <v>20201</v>
      </c>
      <c r="E10" s="6" t="s">
        <v>671</v>
      </c>
      <c r="F10" s="11" t="n">
        <v>0</v>
      </c>
      <c r="G10" s="8" t="n">
        <v>20201</v>
      </c>
      <c r="H10" s="9" t="n">
        <v>0.108</v>
      </c>
      <c r="I10" s="8" t="n">
        <v>18019</v>
      </c>
      <c r="J10" s="6" t="n">
        <v>443</v>
      </c>
      <c r="K10" s="8" t="n">
        <v>8949043</v>
      </c>
      <c r="L10" s="6" t="n">
        <v>459</v>
      </c>
      <c r="M10" s="6" t="n">
        <v>4.5</v>
      </c>
    </row>
    <row r="11" customFormat="false" ht="15" hidden="false" customHeight="false" outlineLevel="0" collapsed="false">
      <c r="A11" s="6" t="s">
        <v>686</v>
      </c>
      <c r="B11" s="6" t="s">
        <v>60</v>
      </c>
      <c r="C11" s="7" t="s">
        <v>687</v>
      </c>
      <c r="D11" s="8" t="n">
        <v>20450</v>
      </c>
      <c r="E11" s="6" t="s">
        <v>671</v>
      </c>
      <c r="F11" s="11" t="n">
        <v>0.05</v>
      </c>
      <c r="G11" s="8" t="n">
        <v>19427</v>
      </c>
      <c r="H11" s="9" t="n">
        <v>0.108</v>
      </c>
      <c r="I11" s="8" t="n">
        <v>17328</v>
      </c>
      <c r="J11" s="6" t="n">
        <v>317</v>
      </c>
      <c r="K11" s="8" t="n">
        <v>6158359</v>
      </c>
      <c r="L11" s="6" t="n">
        <v>335</v>
      </c>
      <c r="M11" s="6" t="n">
        <v>4.3</v>
      </c>
    </row>
    <row r="12" customFormat="false" ht="15" hidden="false" customHeight="false" outlineLevel="0" collapsed="false">
      <c r="A12" s="6" t="s">
        <v>688</v>
      </c>
      <c r="B12" s="6" t="s">
        <v>61</v>
      </c>
      <c r="C12" s="7" t="s">
        <v>689</v>
      </c>
      <c r="D12" s="8" t="n">
        <v>12237</v>
      </c>
      <c r="E12" s="6" t="s">
        <v>668</v>
      </c>
      <c r="F12" s="11" t="n">
        <v>0.05</v>
      </c>
      <c r="G12" s="8" t="n">
        <v>11625</v>
      </c>
      <c r="H12" s="9" t="n">
        <v>0.065</v>
      </c>
      <c r="I12" s="8" t="n">
        <v>10869</v>
      </c>
      <c r="J12" s="6" t="n">
        <v>113</v>
      </c>
      <c r="K12" s="8" t="n">
        <v>1313625</v>
      </c>
      <c r="L12" s="6" t="n">
        <v>287</v>
      </c>
      <c r="M12" s="6" t="n">
        <v>4.8</v>
      </c>
    </row>
    <row r="13" customFormat="false" ht="15" hidden="false" customHeight="false" outlineLevel="0" collapsed="false">
      <c r="A13" s="6" t="s">
        <v>690</v>
      </c>
      <c r="B13" s="6" t="s">
        <v>62</v>
      </c>
      <c r="C13" s="7" t="s">
        <v>691</v>
      </c>
      <c r="D13" s="8" t="n">
        <v>22678</v>
      </c>
      <c r="E13" s="6" t="s">
        <v>671</v>
      </c>
      <c r="F13" s="11" t="n">
        <v>0.05</v>
      </c>
      <c r="G13" s="8" t="n">
        <v>21544</v>
      </c>
      <c r="H13" s="9" t="n">
        <v>0.108</v>
      </c>
      <c r="I13" s="8" t="n">
        <v>19217</v>
      </c>
      <c r="J13" s="6" t="n">
        <v>545</v>
      </c>
      <c r="K13" s="8" t="n">
        <v>11741480</v>
      </c>
      <c r="L13" s="6" t="n">
        <v>105</v>
      </c>
      <c r="M13" s="6" t="n">
        <v>4.4</v>
      </c>
    </row>
    <row r="14" customFormat="false" ht="15" hidden="false" customHeight="false" outlineLevel="0" collapsed="false">
      <c r="A14" s="6" t="s">
        <v>692</v>
      </c>
      <c r="B14" s="6" t="s">
        <v>64</v>
      </c>
      <c r="C14" s="7" t="s">
        <v>693</v>
      </c>
      <c r="D14" s="8" t="n">
        <v>5712</v>
      </c>
      <c r="E14" s="6" t="s">
        <v>671</v>
      </c>
      <c r="F14" s="11" t="n">
        <v>0.15</v>
      </c>
      <c r="G14" s="8" t="n">
        <v>4855</v>
      </c>
      <c r="H14" s="9" t="n">
        <v>0.108</v>
      </c>
      <c r="I14" s="8" t="n">
        <v>4330</v>
      </c>
      <c r="J14" s="6" t="n">
        <v>129</v>
      </c>
      <c r="K14" s="8" t="n">
        <v>626295</v>
      </c>
      <c r="L14" s="6" t="n">
        <v>104</v>
      </c>
      <c r="M14" s="6" t="n">
        <v>4.7</v>
      </c>
    </row>
    <row r="15" customFormat="false" ht="15" hidden="false" customHeight="false" outlineLevel="0" collapsed="false">
      <c r="A15" s="6" t="s">
        <v>694</v>
      </c>
      <c r="B15" s="6" t="s">
        <v>91</v>
      </c>
      <c r="C15" s="7" t="s">
        <v>695</v>
      </c>
      <c r="D15" s="8" t="n">
        <v>17750</v>
      </c>
      <c r="E15" s="6" t="s">
        <v>671</v>
      </c>
      <c r="F15" s="11" t="n">
        <v>0</v>
      </c>
      <c r="G15" s="8" t="n">
        <v>17750</v>
      </c>
      <c r="H15" s="9" t="n">
        <v>0.108</v>
      </c>
      <c r="I15" s="8" t="n">
        <v>15833</v>
      </c>
      <c r="J15" s="6" t="n">
        <v>274</v>
      </c>
      <c r="K15" s="8" t="n">
        <v>4863500</v>
      </c>
      <c r="L15" s="6" t="n">
        <v>224</v>
      </c>
      <c r="M15" s="6" t="n">
        <v>4.8</v>
      </c>
    </row>
    <row r="16" customFormat="false" ht="15" hidden="false" customHeight="false" outlineLevel="0" collapsed="false">
      <c r="A16" s="6" t="s">
        <v>696</v>
      </c>
      <c r="B16" s="6" t="s">
        <v>93</v>
      </c>
      <c r="C16" s="7" t="s">
        <v>697</v>
      </c>
      <c r="D16" s="8" t="n">
        <v>19342</v>
      </c>
      <c r="E16" s="6" t="s">
        <v>668</v>
      </c>
      <c r="F16" s="11" t="n">
        <v>0.1</v>
      </c>
      <c r="G16" s="8" t="n">
        <v>17407</v>
      </c>
      <c r="H16" s="9" t="n">
        <v>0.065</v>
      </c>
      <c r="I16" s="8" t="n">
        <v>16275</v>
      </c>
      <c r="J16" s="6" t="n">
        <v>166</v>
      </c>
      <c r="K16" s="8" t="n">
        <v>2889562</v>
      </c>
      <c r="L16" s="6" t="n">
        <v>159</v>
      </c>
      <c r="M16" s="6" t="n">
        <v>4.7</v>
      </c>
    </row>
    <row r="17" customFormat="false" ht="15" hidden="false" customHeight="false" outlineLevel="0" collapsed="false">
      <c r="A17" s="6" t="s">
        <v>698</v>
      </c>
      <c r="B17" s="6" t="s">
        <v>94</v>
      </c>
      <c r="C17" s="7" t="s">
        <v>699</v>
      </c>
      <c r="D17" s="8" t="n">
        <v>17932</v>
      </c>
      <c r="E17" s="6" t="s">
        <v>671</v>
      </c>
      <c r="F17" s="11" t="n">
        <v>0.05</v>
      </c>
      <c r="G17" s="8" t="n">
        <v>17035</v>
      </c>
      <c r="H17" s="9" t="n">
        <v>0.108</v>
      </c>
      <c r="I17" s="8" t="n">
        <v>15195</v>
      </c>
      <c r="J17" s="6" t="n">
        <v>68</v>
      </c>
      <c r="K17" s="8" t="n">
        <v>1158380</v>
      </c>
      <c r="L17" s="6" t="n">
        <v>464</v>
      </c>
      <c r="M17" s="6" t="n">
        <v>4</v>
      </c>
    </row>
    <row r="18" customFormat="false" ht="15" hidden="false" customHeight="false" outlineLevel="0" collapsed="false">
      <c r="A18" s="6" t="s">
        <v>700</v>
      </c>
      <c r="B18" s="6" t="s">
        <v>96</v>
      </c>
      <c r="C18" s="7" t="s">
        <v>701</v>
      </c>
      <c r="D18" s="8" t="n">
        <v>19159</v>
      </c>
      <c r="E18" s="6" t="s">
        <v>668</v>
      </c>
      <c r="F18" s="11" t="n">
        <v>0.2</v>
      </c>
      <c r="G18" s="8" t="n">
        <v>15327</v>
      </c>
      <c r="H18" s="9" t="n">
        <v>0.065</v>
      </c>
      <c r="I18" s="8" t="n">
        <v>14330</v>
      </c>
      <c r="J18" s="6" t="n">
        <v>99</v>
      </c>
      <c r="K18" s="8" t="n">
        <v>1517373</v>
      </c>
      <c r="L18" s="6" t="n">
        <v>251</v>
      </c>
      <c r="M18" s="6" t="n">
        <v>4.6</v>
      </c>
    </row>
    <row r="19" customFormat="false" ht="15" hidden="false" customHeight="false" outlineLevel="0" collapsed="false">
      <c r="A19" s="6" t="s">
        <v>702</v>
      </c>
      <c r="B19" s="6" t="s">
        <v>97</v>
      </c>
      <c r="C19" s="7" t="s">
        <v>703</v>
      </c>
      <c r="D19" s="8" t="n">
        <v>9826</v>
      </c>
      <c r="E19" s="6" t="s">
        <v>668</v>
      </c>
      <c r="F19" s="11" t="n">
        <v>0.2</v>
      </c>
      <c r="G19" s="8" t="n">
        <v>7860</v>
      </c>
      <c r="H19" s="9" t="n">
        <v>0.065</v>
      </c>
      <c r="I19" s="8" t="n">
        <v>7349</v>
      </c>
      <c r="J19" s="6" t="n">
        <v>169</v>
      </c>
      <c r="K19" s="8" t="n">
        <v>1328340</v>
      </c>
      <c r="L19" s="6" t="n">
        <v>471</v>
      </c>
      <c r="M19" s="6" t="n">
        <v>4.7</v>
      </c>
    </row>
    <row r="20" customFormat="false" ht="15" hidden="false" customHeight="false" outlineLevel="0" collapsed="false">
      <c r="A20" s="6" t="s">
        <v>704</v>
      </c>
      <c r="B20" s="6" t="s">
        <v>98</v>
      </c>
      <c r="C20" s="7" t="s">
        <v>705</v>
      </c>
      <c r="D20" s="8" t="n">
        <v>9563</v>
      </c>
      <c r="E20" s="6" t="s">
        <v>671</v>
      </c>
      <c r="F20" s="11" t="n">
        <v>0.1</v>
      </c>
      <c r="G20" s="8" t="n">
        <v>8606</v>
      </c>
      <c r="H20" s="9" t="n">
        <v>0.108</v>
      </c>
      <c r="I20" s="8" t="n">
        <v>7676</v>
      </c>
      <c r="J20" s="6" t="n">
        <v>229</v>
      </c>
      <c r="K20" s="8" t="n">
        <v>1970774</v>
      </c>
      <c r="L20" s="6" t="n">
        <v>74</v>
      </c>
      <c r="M20" s="6" t="n">
        <v>4.2</v>
      </c>
    </row>
    <row r="21" customFormat="false" ht="15" hidden="false" customHeight="false" outlineLevel="0" collapsed="false">
      <c r="A21" s="6" t="s">
        <v>706</v>
      </c>
      <c r="B21" s="6" t="s">
        <v>99</v>
      </c>
      <c r="C21" s="7" t="s">
        <v>707</v>
      </c>
      <c r="D21" s="8" t="n">
        <v>10175</v>
      </c>
      <c r="E21" s="6" t="s">
        <v>668</v>
      </c>
      <c r="F21" s="11" t="n">
        <v>0.15</v>
      </c>
      <c r="G21" s="8" t="n">
        <v>8648</v>
      </c>
      <c r="H21" s="9" t="n">
        <v>0.065</v>
      </c>
      <c r="I21" s="8" t="n">
        <v>8085</v>
      </c>
      <c r="J21" s="6" t="n">
        <v>42</v>
      </c>
      <c r="K21" s="8" t="n">
        <v>363216</v>
      </c>
      <c r="L21" s="6" t="n">
        <v>159</v>
      </c>
      <c r="M21" s="6" t="n">
        <v>4.8</v>
      </c>
    </row>
    <row r="22" customFormat="false" ht="15" hidden="false" customHeight="false" outlineLevel="0" collapsed="false">
      <c r="A22" s="6" t="s">
        <v>708</v>
      </c>
      <c r="B22" s="6" t="s">
        <v>100</v>
      </c>
      <c r="C22" s="7" t="s">
        <v>709</v>
      </c>
      <c r="D22" s="8" t="n">
        <v>9816</v>
      </c>
      <c r="E22" s="6" t="s">
        <v>671</v>
      </c>
      <c r="F22" s="11" t="n">
        <v>0</v>
      </c>
      <c r="G22" s="8" t="n">
        <v>9816</v>
      </c>
      <c r="H22" s="9" t="n">
        <v>0.108</v>
      </c>
      <c r="I22" s="8" t="n">
        <v>8755</v>
      </c>
      <c r="J22" s="6" t="n">
        <v>342</v>
      </c>
      <c r="K22" s="8" t="n">
        <v>3357072</v>
      </c>
      <c r="L22" s="6" t="n">
        <v>73</v>
      </c>
      <c r="M22" s="6" t="n">
        <v>4.1</v>
      </c>
    </row>
    <row r="23" customFormat="false" ht="15" hidden="false" customHeight="false" outlineLevel="0" collapsed="false">
      <c r="A23" s="6" t="s">
        <v>710</v>
      </c>
      <c r="B23" s="6" t="s">
        <v>102</v>
      </c>
      <c r="C23" s="7" t="s">
        <v>711</v>
      </c>
      <c r="D23" s="8" t="n">
        <v>1958</v>
      </c>
      <c r="E23" s="6" t="s">
        <v>671</v>
      </c>
      <c r="F23" s="11" t="n">
        <v>0.1</v>
      </c>
      <c r="G23" s="8" t="n">
        <v>1762</v>
      </c>
      <c r="H23" s="9" t="n">
        <v>0.108</v>
      </c>
      <c r="I23" s="8" t="n">
        <v>1571</v>
      </c>
      <c r="J23" s="6" t="n">
        <v>328</v>
      </c>
      <c r="K23" s="8" t="n">
        <v>577936</v>
      </c>
      <c r="L23" s="6" t="n">
        <v>220</v>
      </c>
      <c r="M23" s="6" t="n">
        <v>4.6</v>
      </c>
    </row>
    <row r="24" customFormat="false" ht="15" hidden="false" customHeight="false" outlineLevel="0" collapsed="false">
      <c r="A24" s="6" t="s">
        <v>712</v>
      </c>
      <c r="B24" s="6" t="s">
        <v>103</v>
      </c>
      <c r="C24" s="7" t="s">
        <v>713</v>
      </c>
      <c r="D24" s="8" t="n">
        <v>28726</v>
      </c>
      <c r="E24" s="6" t="s">
        <v>671</v>
      </c>
      <c r="F24" s="11" t="n">
        <v>0.05</v>
      </c>
      <c r="G24" s="8" t="n">
        <v>27289</v>
      </c>
      <c r="H24" s="9" t="n">
        <v>0.108</v>
      </c>
      <c r="I24" s="8" t="n">
        <v>24341</v>
      </c>
      <c r="J24" s="6" t="n">
        <v>378</v>
      </c>
      <c r="K24" s="8" t="n">
        <v>10315242</v>
      </c>
      <c r="L24" s="6" t="n">
        <v>449</v>
      </c>
      <c r="M24" s="6" t="n">
        <v>4.8</v>
      </c>
    </row>
    <row r="25" customFormat="false" ht="15" hidden="false" customHeight="false" outlineLevel="0" collapsed="false">
      <c r="A25" s="6" t="s">
        <v>714</v>
      </c>
      <c r="B25" s="6" t="s">
        <v>104</v>
      </c>
      <c r="C25" s="7" t="s">
        <v>715</v>
      </c>
      <c r="D25" s="8" t="n">
        <v>39103</v>
      </c>
      <c r="E25" s="6" t="s">
        <v>671</v>
      </c>
      <c r="F25" s="11" t="n">
        <v>0</v>
      </c>
      <c r="G25" s="8" t="n">
        <v>39103</v>
      </c>
      <c r="H25" s="9" t="n">
        <v>0.108</v>
      </c>
      <c r="I25" s="8" t="n">
        <v>34879</v>
      </c>
      <c r="J25" s="6" t="n">
        <v>193</v>
      </c>
      <c r="K25" s="8" t="n">
        <v>7546879</v>
      </c>
      <c r="L25" s="6" t="n">
        <v>291</v>
      </c>
      <c r="M25" s="6" t="n">
        <v>4.2</v>
      </c>
    </row>
    <row r="26" customFormat="false" ht="15" hidden="false" customHeight="false" outlineLevel="0" collapsed="false">
      <c r="A26" s="6" t="s">
        <v>716</v>
      </c>
      <c r="B26" s="6" t="s">
        <v>105</v>
      </c>
      <c r="C26" s="7" t="s">
        <v>717</v>
      </c>
      <c r="D26" s="8" t="n">
        <v>15466</v>
      </c>
      <c r="E26" s="6" t="s">
        <v>671</v>
      </c>
      <c r="F26" s="11" t="n">
        <v>0.1</v>
      </c>
      <c r="G26" s="8" t="n">
        <v>13919</v>
      </c>
      <c r="H26" s="9" t="n">
        <v>0.108</v>
      </c>
      <c r="I26" s="8" t="n">
        <v>12415</v>
      </c>
      <c r="J26" s="6" t="n">
        <v>506</v>
      </c>
      <c r="K26" s="8" t="n">
        <v>7043014</v>
      </c>
      <c r="L26" s="6" t="n">
        <v>51</v>
      </c>
      <c r="M26" s="6" t="n">
        <v>4.6</v>
      </c>
    </row>
    <row r="27" customFormat="false" ht="15" hidden="false" customHeight="false" outlineLevel="0" collapsed="false">
      <c r="A27" s="6" t="s">
        <v>718</v>
      </c>
      <c r="B27" s="6" t="s">
        <v>106</v>
      </c>
      <c r="C27" s="7" t="s">
        <v>719</v>
      </c>
      <c r="D27" s="8" t="n">
        <v>15061</v>
      </c>
      <c r="E27" s="6" t="s">
        <v>668</v>
      </c>
      <c r="F27" s="11" t="n">
        <v>0.1</v>
      </c>
      <c r="G27" s="8" t="n">
        <v>13554</v>
      </c>
      <c r="H27" s="9" t="n">
        <v>0.065</v>
      </c>
      <c r="I27" s="8" t="n">
        <v>12672</v>
      </c>
      <c r="J27" s="6" t="n">
        <v>210</v>
      </c>
      <c r="K27" s="8" t="n">
        <v>2846340</v>
      </c>
      <c r="L27" s="6" t="n">
        <v>11</v>
      </c>
      <c r="M27" s="6" t="n">
        <v>4.8</v>
      </c>
    </row>
    <row r="28" customFormat="false" ht="15" hidden="false" customHeight="false" outlineLevel="0" collapsed="false">
      <c r="A28" s="6" t="s">
        <v>720</v>
      </c>
      <c r="B28" s="6" t="s">
        <v>107</v>
      </c>
      <c r="C28" s="7" t="s">
        <v>721</v>
      </c>
      <c r="D28" s="8" t="n">
        <v>22485</v>
      </c>
      <c r="E28" s="6" t="s">
        <v>671</v>
      </c>
      <c r="F28" s="11" t="n">
        <v>0.15</v>
      </c>
      <c r="G28" s="8" t="n">
        <v>19112</v>
      </c>
      <c r="H28" s="9" t="n">
        <v>0.108</v>
      </c>
      <c r="I28" s="8" t="n">
        <v>17047</v>
      </c>
      <c r="J28" s="6" t="n">
        <v>314</v>
      </c>
      <c r="K28" s="8" t="n">
        <v>6001168</v>
      </c>
      <c r="L28" s="6" t="n">
        <v>341</v>
      </c>
      <c r="M28" s="6" t="n">
        <v>4.5</v>
      </c>
    </row>
    <row r="29" customFormat="false" ht="15" hidden="false" customHeight="false" outlineLevel="0" collapsed="false">
      <c r="A29" s="6" t="s">
        <v>722</v>
      </c>
      <c r="B29" s="6" t="s">
        <v>108</v>
      </c>
      <c r="C29" s="7" t="s">
        <v>723</v>
      </c>
      <c r="D29" s="8" t="n">
        <v>21827</v>
      </c>
      <c r="E29" s="6" t="s">
        <v>671</v>
      </c>
      <c r="F29" s="11" t="n">
        <v>0.2</v>
      </c>
      <c r="G29" s="8" t="n">
        <v>17461</v>
      </c>
      <c r="H29" s="9" t="n">
        <v>0.108</v>
      </c>
      <c r="I29" s="8" t="n">
        <v>15575</v>
      </c>
      <c r="J29" s="6" t="n">
        <v>135</v>
      </c>
      <c r="K29" s="8" t="n">
        <v>2357235</v>
      </c>
      <c r="L29" s="6" t="n">
        <v>96</v>
      </c>
      <c r="M29" s="6" t="n">
        <v>4.7</v>
      </c>
    </row>
    <row r="30" customFormat="false" ht="15" hidden="false" customHeight="false" outlineLevel="0" collapsed="false">
      <c r="A30" s="6" t="s">
        <v>724</v>
      </c>
      <c r="B30" s="6" t="s">
        <v>109</v>
      </c>
      <c r="C30" s="7" t="s">
        <v>725</v>
      </c>
      <c r="D30" s="8" t="n">
        <v>26249</v>
      </c>
      <c r="E30" s="6" t="s">
        <v>671</v>
      </c>
      <c r="F30" s="11" t="n">
        <v>0.1</v>
      </c>
      <c r="G30" s="8" t="n">
        <v>23624</v>
      </c>
      <c r="H30" s="9" t="n">
        <v>0.108</v>
      </c>
      <c r="I30" s="8" t="n">
        <v>21072</v>
      </c>
      <c r="J30" s="6" t="n">
        <v>216</v>
      </c>
      <c r="K30" s="8" t="n">
        <v>5102784</v>
      </c>
      <c r="L30" s="6" t="n">
        <v>24</v>
      </c>
      <c r="M30" s="6" t="n">
        <v>4.5</v>
      </c>
    </row>
    <row r="31" customFormat="false" ht="15" hidden="false" customHeight="false" outlineLevel="0" collapsed="false">
      <c r="A31" s="6" t="s">
        <v>726</v>
      </c>
      <c r="B31" s="6" t="s">
        <v>110</v>
      </c>
      <c r="C31" s="7" t="s">
        <v>727</v>
      </c>
      <c r="D31" s="8" t="n">
        <v>21965</v>
      </c>
      <c r="E31" s="6" t="s">
        <v>671</v>
      </c>
      <c r="F31" s="11" t="n">
        <v>0</v>
      </c>
      <c r="G31" s="8" t="n">
        <v>21965</v>
      </c>
      <c r="H31" s="9" t="n">
        <v>0.108</v>
      </c>
      <c r="I31" s="8" t="n">
        <v>19592</v>
      </c>
      <c r="J31" s="6" t="n">
        <v>413</v>
      </c>
      <c r="K31" s="8" t="n">
        <v>9071545</v>
      </c>
      <c r="L31" s="6" t="n">
        <v>17</v>
      </c>
      <c r="M31" s="6" t="n">
        <v>4.4</v>
      </c>
    </row>
    <row r="32" customFormat="false" ht="15" hidden="false" customHeight="false" outlineLevel="0" collapsed="false">
      <c r="A32" s="6" t="s">
        <v>728</v>
      </c>
      <c r="B32" s="6" t="s">
        <v>111</v>
      </c>
      <c r="C32" s="7" t="s">
        <v>729</v>
      </c>
      <c r="D32" s="8" t="n">
        <v>20418</v>
      </c>
      <c r="E32" s="6" t="s">
        <v>671</v>
      </c>
      <c r="F32" s="11" t="n">
        <v>0.15</v>
      </c>
      <c r="G32" s="8" t="n">
        <v>17355</v>
      </c>
      <c r="H32" s="9" t="n">
        <v>0.108</v>
      </c>
      <c r="I32" s="8" t="n">
        <v>15480</v>
      </c>
      <c r="J32" s="6" t="n">
        <v>57</v>
      </c>
      <c r="K32" s="8" t="n">
        <v>989235</v>
      </c>
      <c r="L32" s="6" t="n">
        <v>298</v>
      </c>
      <c r="M32" s="6" t="n">
        <v>4.6</v>
      </c>
    </row>
    <row r="33" customFormat="false" ht="15" hidden="false" customHeight="false" outlineLevel="0" collapsed="false">
      <c r="A33" s="6" t="s">
        <v>730</v>
      </c>
      <c r="B33" s="6" t="s">
        <v>112</v>
      </c>
      <c r="C33" s="7" t="s">
        <v>731</v>
      </c>
      <c r="D33" s="8" t="n">
        <v>25985</v>
      </c>
      <c r="E33" s="6" t="s">
        <v>671</v>
      </c>
      <c r="F33" s="11" t="n">
        <v>0.15</v>
      </c>
      <c r="G33" s="8" t="n">
        <v>22087</v>
      </c>
      <c r="H33" s="9" t="n">
        <v>0.108</v>
      </c>
      <c r="I33" s="8" t="n">
        <v>19701</v>
      </c>
      <c r="J33" s="6" t="n">
        <v>577</v>
      </c>
      <c r="K33" s="8" t="n">
        <v>12744199</v>
      </c>
      <c r="L33" s="6" t="n">
        <v>201</v>
      </c>
      <c r="M33" s="6" t="n">
        <v>4.3</v>
      </c>
    </row>
    <row r="34" customFormat="false" ht="15" hidden="false" customHeight="false" outlineLevel="0" collapsed="false">
      <c r="A34" s="6" t="s">
        <v>732</v>
      </c>
      <c r="B34" s="6" t="s">
        <v>113</v>
      </c>
      <c r="C34" s="7" t="s">
        <v>733</v>
      </c>
      <c r="D34" s="8" t="n">
        <v>38949</v>
      </c>
      <c r="E34" s="6" t="s">
        <v>671</v>
      </c>
      <c r="F34" s="11" t="n">
        <v>0.05</v>
      </c>
      <c r="G34" s="8" t="n">
        <v>37001</v>
      </c>
      <c r="H34" s="9" t="n">
        <v>0.108</v>
      </c>
      <c r="I34" s="8" t="n">
        <v>33004</v>
      </c>
      <c r="J34" s="6" t="n">
        <v>425</v>
      </c>
      <c r="K34" s="8" t="n">
        <v>15725425</v>
      </c>
      <c r="L34" s="6" t="n">
        <v>244</v>
      </c>
      <c r="M34" s="6" t="n">
        <v>4.5</v>
      </c>
    </row>
    <row r="35" customFormat="false" ht="15" hidden="false" customHeight="false" outlineLevel="0" collapsed="false">
      <c r="A35" s="6" t="s">
        <v>734</v>
      </c>
      <c r="B35" s="6" t="s">
        <v>114</v>
      </c>
      <c r="C35" s="7" t="s">
        <v>735</v>
      </c>
      <c r="D35" s="8" t="n">
        <v>38753</v>
      </c>
      <c r="E35" s="6" t="s">
        <v>671</v>
      </c>
      <c r="F35" s="11" t="n">
        <v>0.1</v>
      </c>
      <c r="G35" s="8" t="n">
        <v>34877</v>
      </c>
      <c r="H35" s="9" t="n">
        <v>0.108</v>
      </c>
      <c r="I35" s="8" t="n">
        <v>31110</v>
      </c>
      <c r="J35" s="6" t="n">
        <v>193</v>
      </c>
      <c r="K35" s="8" t="n">
        <v>6731261</v>
      </c>
      <c r="L35" s="6" t="n">
        <v>478</v>
      </c>
      <c r="M35" s="6" t="n">
        <v>4.8</v>
      </c>
    </row>
    <row r="36" customFormat="false" ht="15" hidden="false" customHeight="false" outlineLevel="0" collapsed="false">
      <c r="A36" s="6" t="s">
        <v>736</v>
      </c>
      <c r="B36" s="6" t="s">
        <v>115</v>
      </c>
      <c r="C36" s="7" t="s">
        <v>737</v>
      </c>
      <c r="D36" s="8" t="n">
        <v>42420</v>
      </c>
      <c r="E36" s="6" t="s">
        <v>671</v>
      </c>
      <c r="F36" s="11" t="n">
        <v>0.05</v>
      </c>
      <c r="G36" s="8" t="n">
        <v>40299</v>
      </c>
      <c r="H36" s="9" t="n">
        <v>0.108</v>
      </c>
      <c r="I36" s="8" t="n">
        <v>35946</v>
      </c>
      <c r="J36" s="6" t="n">
        <v>448</v>
      </c>
      <c r="K36" s="8" t="n">
        <v>18053952</v>
      </c>
      <c r="L36" s="6" t="n">
        <v>457</v>
      </c>
      <c r="M36" s="6" t="n">
        <v>4.1</v>
      </c>
    </row>
    <row r="37" customFormat="false" ht="15" hidden="false" customHeight="false" outlineLevel="0" collapsed="false">
      <c r="A37" s="6" t="s">
        <v>738</v>
      </c>
      <c r="B37" s="6" t="s">
        <v>116</v>
      </c>
      <c r="C37" s="7" t="s">
        <v>739</v>
      </c>
      <c r="D37" s="8" t="n">
        <v>15215</v>
      </c>
      <c r="E37" s="6" t="s">
        <v>671</v>
      </c>
      <c r="F37" s="11" t="n">
        <v>0.1</v>
      </c>
      <c r="G37" s="8" t="n">
        <v>13693</v>
      </c>
      <c r="H37" s="9" t="n">
        <v>0.108</v>
      </c>
      <c r="I37" s="8" t="n">
        <v>12214</v>
      </c>
      <c r="J37" s="6" t="n">
        <v>343</v>
      </c>
      <c r="K37" s="8" t="n">
        <v>4696699</v>
      </c>
      <c r="L37" s="6" t="n">
        <v>22</v>
      </c>
      <c r="M37" s="6" t="n">
        <v>4.3</v>
      </c>
    </row>
    <row r="38" customFormat="false" ht="15" hidden="false" customHeight="false" outlineLevel="0" collapsed="false">
      <c r="A38" s="6" t="s">
        <v>740</v>
      </c>
      <c r="B38" s="6" t="s">
        <v>117</v>
      </c>
      <c r="C38" s="7" t="s">
        <v>741</v>
      </c>
      <c r="D38" s="8" t="n">
        <v>15272</v>
      </c>
      <c r="E38" s="6" t="s">
        <v>671</v>
      </c>
      <c r="F38" s="11" t="n">
        <v>0.05</v>
      </c>
      <c r="G38" s="8" t="n">
        <v>14508</v>
      </c>
      <c r="H38" s="9" t="n">
        <v>0.108</v>
      </c>
      <c r="I38" s="8" t="n">
        <v>12941</v>
      </c>
      <c r="J38" s="6" t="n">
        <v>119</v>
      </c>
      <c r="K38" s="8" t="n">
        <v>1726452</v>
      </c>
      <c r="L38" s="6" t="n">
        <v>103</v>
      </c>
      <c r="M38" s="6" t="n">
        <v>4.8</v>
      </c>
    </row>
    <row r="39" customFormat="false" ht="15" hidden="false" customHeight="false" outlineLevel="0" collapsed="false">
      <c r="A39" s="6" t="s">
        <v>742</v>
      </c>
      <c r="B39" s="6" t="s">
        <v>118</v>
      </c>
      <c r="C39" s="7" t="s">
        <v>743</v>
      </c>
      <c r="D39" s="8" t="n">
        <v>17297</v>
      </c>
      <c r="E39" s="6" t="s">
        <v>671</v>
      </c>
      <c r="F39" s="11" t="n">
        <v>0.1</v>
      </c>
      <c r="G39" s="8" t="n">
        <v>15567</v>
      </c>
      <c r="H39" s="9" t="n">
        <v>0.108</v>
      </c>
      <c r="I39" s="8" t="n">
        <v>13885</v>
      </c>
      <c r="J39" s="6" t="n">
        <v>475</v>
      </c>
      <c r="K39" s="8" t="n">
        <v>7394325</v>
      </c>
      <c r="L39" s="6" t="n">
        <v>169</v>
      </c>
      <c r="M39" s="6" t="n">
        <v>4.5</v>
      </c>
    </row>
    <row r="40" customFormat="false" ht="15" hidden="false" customHeight="false" outlineLevel="0" collapsed="false">
      <c r="A40" s="6" t="s">
        <v>744</v>
      </c>
      <c r="B40" s="6" t="s">
        <v>119</v>
      </c>
      <c r="C40" s="7" t="s">
        <v>745</v>
      </c>
      <c r="D40" s="8" t="n">
        <v>39186</v>
      </c>
      <c r="E40" s="6" t="s">
        <v>668</v>
      </c>
      <c r="F40" s="11" t="n">
        <v>0</v>
      </c>
      <c r="G40" s="8" t="n">
        <v>39186</v>
      </c>
      <c r="H40" s="9" t="n">
        <v>0.065</v>
      </c>
      <c r="I40" s="8" t="n">
        <v>36638</v>
      </c>
      <c r="J40" s="6" t="n">
        <v>125</v>
      </c>
      <c r="K40" s="8" t="n">
        <v>4898250</v>
      </c>
      <c r="L40" s="6" t="n">
        <v>427</v>
      </c>
      <c r="M40" s="6" t="n">
        <v>4.1</v>
      </c>
    </row>
    <row r="41" customFormat="false" ht="15" hidden="false" customHeight="false" outlineLevel="0" collapsed="false">
      <c r="A41" s="6" t="s">
        <v>746</v>
      </c>
      <c r="B41" s="6" t="s">
        <v>65</v>
      </c>
      <c r="C41" s="7" t="s">
        <v>747</v>
      </c>
      <c r="D41" s="8" t="n">
        <v>12510</v>
      </c>
      <c r="E41" s="6" t="s">
        <v>671</v>
      </c>
      <c r="F41" s="11" t="n">
        <v>0.1</v>
      </c>
      <c r="G41" s="8" t="n">
        <v>11259</v>
      </c>
      <c r="H41" s="9" t="n">
        <v>0.108</v>
      </c>
      <c r="I41" s="8" t="n">
        <v>10043</v>
      </c>
      <c r="J41" s="6" t="n">
        <v>434</v>
      </c>
      <c r="K41" s="8" t="n">
        <v>4886406</v>
      </c>
      <c r="L41" s="6" t="n">
        <v>78</v>
      </c>
      <c r="M41" s="6" t="n">
        <v>4.6</v>
      </c>
    </row>
    <row r="42" customFormat="false" ht="15" hidden="false" customHeight="false" outlineLevel="0" collapsed="false">
      <c r="A42" s="6" t="s">
        <v>748</v>
      </c>
      <c r="B42" s="6" t="s">
        <v>66</v>
      </c>
      <c r="C42" s="7" t="s">
        <v>749</v>
      </c>
      <c r="D42" s="8" t="n">
        <v>11328</v>
      </c>
      <c r="E42" s="6" t="s">
        <v>671</v>
      </c>
      <c r="F42" s="11" t="n">
        <v>0.15</v>
      </c>
      <c r="G42" s="8" t="n">
        <v>9628</v>
      </c>
      <c r="H42" s="9" t="n">
        <v>0.108</v>
      </c>
      <c r="I42" s="8" t="n">
        <v>8588</v>
      </c>
      <c r="J42" s="6" t="n">
        <v>178</v>
      </c>
      <c r="K42" s="8" t="n">
        <v>1713784</v>
      </c>
      <c r="L42" s="6" t="n">
        <v>394</v>
      </c>
      <c r="M42" s="6" t="n">
        <v>4.3</v>
      </c>
    </row>
    <row r="43" customFormat="false" ht="15" hidden="false" customHeight="false" outlineLevel="0" collapsed="false">
      <c r="A43" s="6" t="s">
        <v>750</v>
      </c>
      <c r="B43" s="6" t="s">
        <v>67</v>
      </c>
      <c r="C43" s="7" t="s">
        <v>751</v>
      </c>
      <c r="D43" s="8" t="n">
        <v>10353</v>
      </c>
      <c r="E43" s="6" t="s">
        <v>671</v>
      </c>
      <c r="F43" s="11" t="n">
        <v>0</v>
      </c>
      <c r="G43" s="8" t="n">
        <v>10353</v>
      </c>
      <c r="H43" s="9" t="n">
        <v>0.108</v>
      </c>
      <c r="I43" s="8" t="n">
        <v>9234</v>
      </c>
      <c r="J43" s="6" t="n">
        <v>543</v>
      </c>
      <c r="K43" s="8" t="n">
        <v>5621679</v>
      </c>
      <c r="L43" s="6" t="n">
        <v>407</v>
      </c>
      <c r="M43" s="6" t="n">
        <v>4.9</v>
      </c>
    </row>
    <row r="44" customFormat="false" ht="15" hidden="false" customHeight="false" outlineLevel="0" collapsed="false">
      <c r="A44" s="6" t="s">
        <v>752</v>
      </c>
      <c r="B44" s="6" t="s">
        <v>68</v>
      </c>
      <c r="C44" s="7" t="s">
        <v>753</v>
      </c>
      <c r="D44" s="8" t="n">
        <v>11687</v>
      </c>
      <c r="E44" s="6" t="s">
        <v>671</v>
      </c>
      <c r="F44" s="11" t="n">
        <v>0.2</v>
      </c>
      <c r="G44" s="8" t="n">
        <v>9349</v>
      </c>
      <c r="H44" s="9" t="n">
        <v>0.108</v>
      </c>
      <c r="I44" s="8" t="n">
        <v>8339</v>
      </c>
      <c r="J44" s="6" t="n">
        <v>537</v>
      </c>
      <c r="K44" s="8" t="n">
        <v>5020413</v>
      </c>
      <c r="L44" s="6" t="n">
        <v>396</v>
      </c>
      <c r="M44" s="6" t="n">
        <v>4.6</v>
      </c>
    </row>
    <row r="45" customFormat="false" ht="15" hidden="false" customHeight="false" outlineLevel="0" collapsed="false">
      <c r="A45" s="6" t="s">
        <v>754</v>
      </c>
      <c r="B45" s="6" t="s">
        <v>69</v>
      </c>
      <c r="C45" s="7" t="s">
        <v>755</v>
      </c>
      <c r="D45" s="8" t="n">
        <v>15066</v>
      </c>
      <c r="E45" s="6" t="s">
        <v>668</v>
      </c>
      <c r="F45" s="11" t="n">
        <v>0.15</v>
      </c>
      <c r="G45" s="8" t="n">
        <v>12806</v>
      </c>
      <c r="H45" s="9" t="n">
        <v>0.065</v>
      </c>
      <c r="I45" s="8" t="n">
        <v>11973</v>
      </c>
      <c r="J45" s="6" t="n">
        <v>187</v>
      </c>
      <c r="K45" s="8" t="n">
        <v>2394722</v>
      </c>
      <c r="L45" s="6" t="n">
        <v>219</v>
      </c>
      <c r="M45" s="6" t="n">
        <v>4</v>
      </c>
    </row>
    <row r="46" customFormat="false" ht="15" hidden="false" customHeight="false" outlineLevel="0" collapsed="false">
      <c r="A46" s="6" t="s">
        <v>756</v>
      </c>
      <c r="B46" s="6" t="s">
        <v>70</v>
      </c>
      <c r="C46" s="7" t="s">
        <v>757</v>
      </c>
      <c r="D46" s="8" t="n">
        <v>15301</v>
      </c>
      <c r="E46" s="6" t="s">
        <v>671</v>
      </c>
      <c r="F46" s="11" t="n">
        <v>0.15</v>
      </c>
      <c r="G46" s="8" t="n">
        <v>13005</v>
      </c>
      <c r="H46" s="9" t="n">
        <v>0.108</v>
      </c>
      <c r="I46" s="8" t="n">
        <v>11600</v>
      </c>
      <c r="J46" s="6" t="n">
        <v>598</v>
      </c>
      <c r="K46" s="8" t="n">
        <v>7776990</v>
      </c>
      <c r="L46" s="6" t="n">
        <v>432</v>
      </c>
      <c r="M46" s="6" t="n">
        <v>4.4</v>
      </c>
    </row>
    <row r="47" customFormat="false" ht="15" hidden="false" customHeight="false" outlineLevel="0" collapsed="false">
      <c r="A47" s="6" t="s">
        <v>758</v>
      </c>
      <c r="B47" s="6" t="s">
        <v>71</v>
      </c>
      <c r="C47" s="7" t="s">
        <v>759</v>
      </c>
      <c r="D47" s="8" t="n">
        <v>10936</v>
      </c>
      <c r="E47" s="6" t="s">
        <v>671</v>
      </c>
      <c r="F47" s="11" t="n">
        <v>0.2</v>
      </c>
      <c r="G47" s="8" t="n">
        <v>8748</v>
      </c>
      <c r="H47" s="9" t="n">
        <v>0.108</v>
      </c>
      <c r="I47" s="8" t="n">
        <v>7803</v>
      </c>
      <c r="J47" s="6" t="n">
        <v>186</v>
      </c>
      <c r="K47" s="8" t="n">
        <v>1627128</v>
      </c>
      <c r="L47" s="6" t="n">
        <v>292</v>
      </c>
      <c r="M47" s="6" t="n">
        <v>4.8</v>
      </c>
    </row>
    <row r="48" customFormat="false" ht="15" hidden="false" customHeight="false" outlineLevel="0" collapsed="false">
      <c r="A48" s="6" t="s">
        <v>760</v>
      </c>
      <c r="B48" s="6" t="s">
        <v>72</v>
      </c>
      <c r="C48" s="7" t="s">
        <v>761</v>
      </c>
      <c r="D48" s="8" t="n">
        <v>15832</v>
      </c>
      <c r="E48" s="6" t="s">
        <v>668</v>
      </c>
      <c r="F48" s="11" t="n">
        <v>0.05</v>
      </c>
      <c r="G48" s="8" t="n">
        <v>15040</v>
      </c>
      <c r="H48" s="9" t="n">
        <v>0.065</v>
      </c>
      <c r="I48" s="8" t="n">
        <v>14062</v>
      </c>
      <c r="J48" s="6" t="n">
        <v>110</v>
      </c>
      <c r="K48" s="8" t="n">
        <v>1654400</v>
      </c>
      <c r="L48" s="6" t="n">
        <v>301</v>
      </c>
      <c r="M48" s="6" t="n">
        <v>4.1</v>
      </c>
    </row>
    <row r="49" customFormat="false" ht="15" hidden="false" customHeight="false" outlineLevel="0" collapsed="false">
      <c r="A49" s="6" t="s">
        <v>762</v>
      </c>
      <c r="B49" s="6" t="s">
        <v>73</v>
      </c>
      <c r="C49" s="7" t="s">
        <v>763</v>
      </c>
      <c r="D49" s="8" t="n">
        <v>19907</v>
      </c>
      <c r="E49" s="6" t="s">
        <v>671</v>
      </c>
      <c r="F49" s="11" t="n">
        <v>0.1</v>
      </c>
      <c r="G49" s="8" t="n">
        <v>17916</v>
      </c>
      <c r="H49" s="9" t="n">
        <v>0.108</v>
      </c>
      <c r="I49" s="8" t="n">
        <v>15981</v>
      </c>
      <c r="J49" s="6" t="n">
        <v>519</v>
      </c>
      <c r="K49" s="8" t="n">
        <v>9298404</v>
      </c>
      <c r="L49" s="6" t="n">
        <v>164</v>
      </c>
      <c r="M49" s="6" t="n">
        <v>4.8</v>
      </c>
    </row>
    <row r="50" customFormat="false" ht="15" hidden="false" customHeight="false" outlineLevel="0" collapsed="false">
      <c r="A50" s="6" t="s">
        <v>764</v>
      </c>
      <c r="B50" s="6" t="s">
        <v>74</v>
      </c>
      <c r="C50" s="7" t="s">
        <v>765</v>
      </c>
      <c r="D50" s="8" t="n">
        <v>18243</v>
      </c>
      <c r="E50" s="6" t="s">
        <v>671</v>
      </c>
      <c r="F50" s="11" t="n">
        <v>0.05</v>
      </c>
      <c r="G50" s="8" t="n">
        <v>17330</v>
      </c>
      <c r="H50" s="9" t="n">
        <v>0.108</v>
      </c>
      <c r="I50" s="8" t="n">
        <v>15458</v>
      </c>
      <c r="J50" s="6" t="n">
        <v>201</v>
      </c>
      <c r="K50" s="8" t="n">
        <v>3483330</v>
      </c>
      <c r="L50" s="6" t="n">
        <v>460</v>
      </c>
      <c r="M50" s="6" t="n">
        <v>4.1</v>
      </c>
    </row>
    <row r="51" customFormat="false" ht="15" hidden="false" customHeight="false" outlineLevel="0" collapsed="false">
      <c r="A51" s="6" t="s">
        <v>766</v>
      </c>
      <c r="B51" s="6" t="s">
        <v>75</v>
      </c>
      <c r="C51" s="7" t="s">
        <v>767</v>
      </c>
      <c r="D51" s="8" t="n">
        <v>15835</v>
      </c>
      <c r="E51" s="6" t="s">
        <v>671</v>
      </c>
      <c r="F51" s="11" t="n">
        <v>0.1</v>
      </c>
      <c r="G51" s="8" t="n">
        <v>14251</v>
      </c>
      <c r="H51" s="9" t="n">
        <v>0.108</v>
      </c>
      <c r="I51" s="8" t="n">
        <v>12711</v>
      </c>
      <c r="J51" s="6" t="n">
        <v>537</v>
      </c>
      <c r="K51" s="8" t="n">
        <v>7652787</v>
      </c>
      <c r="L51" s="6" t="n">
        <v>430</v>
      </c>
      <c r="M51" s="6" t="n">
        <v>4.6</v>
      </c>
    </row>
    <row r="52" customFormat="false" ht="15" hidden="false" customHeight="false" outlineLevel="0" collapsed="false">
      <c r="A52" s="6" t="s">
        <v>768</v>
      </c>
      <c r="B52" s="6" t="s">
        <v>76</v>
      </c>
      <c r="C52" s="7" t="s">
        <v>769</v>
      </c>
      <c r="D52" s="8" t="n">
        <v>24654</v>
      </c>
      <c r="E52" s="6" t="s">
        <v>671</v>
      </c>
      <c r="F52" s="11" t="n">
        <v>0</v>
      </c>
      <c r="G52" s="8" t="n">
        <v>24654</v>
      </c>
      <c r="H52" s="9" t="n">
        <v>0.108</v>
      </c>
      <c r="I52" s="8" t="n">
        <v>21991</v>
      </c>
      <c r="J52" s="6" t="n">
        <v>495</v>
      </c>
      <c r="K52" s="8" t="n">
        <v>12203730</v>
      </c>
      <c r="L52" s="6" t="n">
        <v>93</v>
      </c>
      <c r="M52" s="6" t="n">
        <v>4.1</v>
      </c>
    </row>
    <row r="53" customFormat="false" ht="15" hidden="false" customHeight="false" outlineLevel="0" collapsed="false">
      <c r="A53" s="6" t="s">
        <v>770</v>
      </c>
      <c r="B53" s="6" t="s">
        <v>13</v>
      </c>
      <c r="C53" s="7" t="s">
        <v>771</v>
      </c>
      <c r="D53" s="8" t="n">
        <v>14850</v>
      </c>
      <c r="E53" s="6" t="s">
        <v>671</v>
      </c>
      <c r="F53" s="11" t="n">
        <v>0.15</v>
      </c>
      <c r="G53" s="8" t="n">
        <v>12622</v>
      </c>
      <c r="H53" s="9" t="n">
        <v>0.108</v>
      </c>
      <c r="I53" s="8" t="n">
        <v>11258</v>
      </c>
      <c r="J53" s="6" t="n">
        <v>406</v>
      </c>
      <c r="K53" s="8" t="n">
        <v>5124532</v>
      </c>
      <c r="L53" s="6" t="n">
        <v>213</v>
      </c>
      <c r="M53" s="6" t="n">
        <v>4.3</v>
      </c>
    </row>
    <row r="54" customFormat="false" ht="15" hidden="false" customHeight="false" outlineLevel="0" collapsed="false">
      <c r="A54" s="6" t="s">
        <v>772</v>
      </c>
      <c r="B54" s="6" t="s">
        <v>14</v>
      </c>
      <c r="C54" s="7" t="s">
        <v>773</v>
      </c>
      <c r="D54" s="8" t="n">
        <v>16549</v>
      </c>
      <c r="E54" s="6" t="s">
        <v>668</v>
      </c>
      <c r="F54" s="11" t="n">
        <v>0.15</v>
      </c>
      <c r="G54" s="8" t="n">
        <v>14066</v>
      </c>
      <c r="H54" s="9" t="n">
        <v>0.065</v>
      </c>
      <c r="I54" s="8" t="n">
        <v>13151</v>
      </c>
      <c r="J54" s="6" t="n">
        <v>67</v>
      </c>
      <c r="K54" s="8" t="n">
        <v>942422</v>
      </c>
      <c r="L54" s="6" t="n">
        <v>323</v>
      </c>
      <c r="M54" s="6" t="n">
        <v>4.6</v>
      </c>
    </row>
    <row r="55" customFormat="false" ht="15" hidden="false" customHeight="false" outlineLevel="0" collapsed="false">
      <c r="A55" s="6" t="s">
        <v>774</v>
      </c>
      <c r="B55" s="6" t="s">
        <v>15</v>
      </c>
      <c r="C55" s="7" t="s">
        <v>775</v>
      </c>
      <c r="D55" s="8" t="n">
        <v>18092</v>
      </c>
      <c r="E55" s="6" t="s">
        <v>668</v>
      </c>
      <c r="F55" s="11" t="n">
        <v>0.05</v>
      </c>
      <c r="G55" s="8" t="n">
        <v>17187</v>
      </c>
      <c r="H55" s="9" t="n">
        <v>0.065</v>
      </c>
      <c r="I55" s="8" t="n">
        <v>16069</v>
      </c>
      <c r="J55" s="6" t="n">
        <v>185</v>
      </c>
      <c r="K55" s="8" t="n">
        <v>3179595</v>
      </c>
      <c r="L55" s="6" t="n">
        <v>467</v>
      </c>
      <c r="M55" s="6" t="n">
        <v>4.5</v>
      </c>
    </row>
    <row r="56" customFormat="false" ht="15" hidden="false" customHeight="false" outlineLevel="0" collapsed="false">
      <c r="A56" s="6" t="s">
        <v>776</v>
      </c>
      <c r="B56" s="6" t="s">
        <v>16</v>
      </c>
      <c r="C56" s="7" t="s">
        <v>777</v>
      </c>
      <c r="D56" s="8" t="n">
        <v>18771</v>
      </c>
      <c r="E56" s="6" t="s">
        <v>671</v>
      </c>
      <c r="F56" s="11" t="n">
        <v>0.05</v>
      </c>
      <c r="G56" s="8" t="n">
        <v>17832</v>
      </c>
      <c r="H56" s="9" t="n">
        <v>0.108</v>
      </c>
      <c r="I56" s="8" t="n">
        <v>15906</v>
      </c>
      <c r="J56" s="6" t="n">
        <v>232</v>
      </c>
      <c r="K56" s="8" t="n">
        <v>4137024</v>
      </c>
      <c r="L56" s="6" t="n">
        <v>96</v>
      </c>
      <c r="M56" s="6" t="n">
        <v>4.3</v>
      </c>
    </row>
    <row r="57" customFormat="false" ht="15" hidden="false" customHeight="false" outlineLevel="0" collapsed="false">
      <c r="A57" s="6" t="s">
        <v>778</v>
      </c>
      <c r="B57" s="6" t="s">
        <v>18</v>
      </c>
      <c r="C57" s="7" t="s">
        <v>779</v>
      </c>
      <c r="D57" s="8" t="n">
        <v>30280</v>
      </c>
      <c r="E57" s="6" t="s">
        <v>671</v>
      </c>
      <c r="F57" s="11" t="n">
        <v>0.15</v>
      </c>
      <c r="G57" s="8" t="n">
        <v>25738</v>
      </c>
      <c r="H57" s="9" t="n">
        <v>0.108</v>
      </c>
      <c r="I57" s="8" t="n">
        <v>22958</v>
      </c>
      <c r="J57" s="6" t="n">
        <v>271</v>
      </c>
      <c r="K57" s="8" t="n">
        <v>6974998</v>
      </c>
      <c r="L57" s="6" t="n">
        <v>76</v>
      </c>
      <c r="M57" s="6" t="n">
        <v>4.2</v>
      </c>
    </row>
    <row r="58" customFormat="false" ht="15" hidden="false" customHeight="false" outlineLevel="0" collapsed="false">
      <c r="A58" s="6" t="s">
        <v>780</v>
      </c>
      <c r="B58" s="6" t="s">
        <v>19</v>
      </c>
      <c r="C58" s="7" t="s">
        <v>781</v>
      </c>
      <c r="D58" s="8" t="n">
        <v>32529</v>
      </c>
      <c r="E58" s="6" t="s">
        <v>668</v>
      </c>
      <c r="F58" s="11" t="n">
        <v>0.1</v>
      </c>
      <c r="G58" s="8" t="n">
        <v>29276</v>
      </c>
      <c r="H58" s="9" t="n">
        <v>0.065</v>
      </c>
      <c r="I58" s="8" t="n">
        <v>27373</v>
      </c>
      <c r="J58" s="6" t="n">
        <v>98</v>
      </c>
      <c r="K58" s="8" t="n">
        <v>2869048</v>
      </c>
      <c r="L58" s="6" t="n">
        <v>177</v>
      </c>
      <c r="M58" s="6" t="n">
        <v>4.7</v>
      </c>
    </row>
    <row r="59" customFormat="false" ht="15" hidden="false" customHeight="false" outlineLevel="0" collapsed="false">
      <c r="A59" s="6" t="s">
        <v>782</v>
      </c>
      <c r="B59" s="6" t="s">
        <v>20</v>
      </c>
      <c r="C59" s="7" t="s">
        <v>783</v>
      </c>
      <c r="D59" s="8" t="n">
        <v>32195</v>
      </c>
      <c r="E59" s="6" t="s">
        <v>671</v>
      </c>
      <c r="F59" s="11" t="n">
        <v>0.05</v>
      </c>
      <c r="G59" s="8" t="n">
        <v>30585</v>
      </c>
      <c r="H59" s="9" t="n">
        <v>0.108</v>
      </c>
      <c r="I59" s="8" t="n">
        <v>27281</v>
      </c>
      <c r="J59" s="6" t="n">
        <v>556</v>
      </c>
      <c r="K59" s="8" t="n">
        <v>17005260</v>
      </c>
      <c r="L59" s="6" t="n">
        <v>70</v>
      </c>
      <c r="M59" s="6" t="n">
        <v>4.7</v>
      </c>
    </row>
    <row r="60" customFormat="false" ht="15" hidden="false" customHeight="false" outlineLevel="0" collapsed="false">
      <c r="A60" s="6" t="s">
        <v>784</v>
      </c>
      <c r="B60" s="6" t="s">
        <v>21</v>
      </c>
      <c r="C60" s="7" t="s">
        <v>785</v>
      </c>
      <c r="D60" s="8" t="n">
        <v>12151</v>
      </c>
      <c r="E60" s="6" t="s">
        <v>671</v>
      </c>
      <c r="F60" s="11" t="n">
        <v>0.05</v>
      </c>
      <c r="G60" s="8" t="n">
        <v>11543</v>
      </c>
      <c r="H60" s="9" t="n">
        <v>0.108</v>
      </c>
      <c r="I60" s="8" t="n">
        <v>10296</v>
      </c>
      <c r="J60" s="6" t="n">
        <v>523</v>
      </c>
      <c r="K60" s="8" t="n">
        <v>6036989</v>
      </c>
      <c r="L60" s="6" t="n">
        <v>318</v>
      </c>
      <c r="M60" s="6" t="n">
        <v>4.3</v>
      </c>
    </row>
    <row r="61" customFormat="false" ht="15" hidden="false" customHeight="false" outlineLevel="0" collapsed="false">
      <c r="A61" s="6" t="s">
        <v>786</v>
      </c>
      <c r="B61" s="6" t="s">
        <v>22</v>
      </c>
      <c r="C61" s="7" t="s">
        <v>787</v>
      </c>
      <c r="D61" s="8" t="n">
        <v>22282</v>
      </c>
      <c r="E61" s="6" t="s">
        <v>671</v>
      </c>
      <c r="F61" s="11" t="n">
        <v>0.05</v>
      </c>
      <c r="G61" s="8" t="n">
        <v>21167</v>
      </c>
      <c r="H61" s="9" t="n">
        <v>0.108</v>
      </c>
      <c r="I61" s="8" t="n">
        <v>18880</v>
      </c>
      <c r="J61" s="6" t="n">
        <v>308</v>
      </c>
      <c r="K61" s="8" t="n">
        <v>6519436</v>
      </c>
      <c r="L61" s="6" t="n">
        <v>179</v>
      </c>
      <c r="M61" s="6" t="n">
        <v>4.6</v>
      </c>
    </row>
    <row r="62" customFormat="false" ht="15" hidden="false" customHeight="false" outlineLevel="0" collapsed="false">
      <c r="A62" s="6" t="s">
        <v>788</v>
      </c>
      <c r="B62" s="6" t="s">
        <v>23</v>
      </c>
      <c r="C62" s="7" t="s">
        <v>789</v>
      </c>
      <c r="D62" s="8" t="n">
        <v>14071</v>
      </c>
      <c r="E62" s="6" t="s">
        <v>668</v>
      </c>
      <c r="F62" s="11" t="n">
        <v>0.05</v>
      </c>
      <c r="G62" s="8" t="n">
        <v>13367</v>
      </c>
      <c r="H62" s="9" t="n">
        <v>0.065</v>
      </c>
      <c r="I62" s="8" t="n">
        <v>12498</v>
      </c>
      <c r="J62" s="6" t="n">
        <v>146</v>
      </c>
      <c r="K62" s="8" t="n">
        <v>1951582</v>
      </c>
      <c r="L62" s="6" t="n">
        <v>87</v>
      </c>
      <c r="M62" s="6" t="n">
        <v>4.7</v>
      </c>
    </row>
    <row r="63" customFormat="false" ht="15" hidden="false" customHeight="false" outlineLevel="0" collapsed="false">
      <c r="A63" s="6" t="s">
        <v>790</v>
      </c>
      <c r="B63" s="6" t="s">
        <v>24</v>
      </c>
      <c r="C63" s="7" t="s">
        <v>791</v>
      </c>
      <c r="D63" s="8" t="n">
        <v>25828</v>
      </c>
      <c r="E63" s="6" t="s">
        <v>668</v>
      </c>
      <c r="F63" s="11" t="n">
        <v>0.1</v>
      </c>
      <c r="G63" s="8" t="n">
        <v>23245</v>
      </c>
      <c r="H63" s="9" t="n">
        <v>0.065</v>
      </c>
      <c r="I63" s="8" t="n">
        <v>21734</v>
      </c>
      <c r="J63" s="6" t="n">
        <v>27</v>
      </c>
      <c r="K63" s="8" t="n">
        <v>627615</v>
      </c>
      <c r="L63" s="6" t="n">
        <v>320</v>
      </c>
      <c r="M63" s="6" t="n">
        <v>4.4</v>
      </c>
    </row>
    <row r="64" customFormat="false" ht="15" hidden="false" customHeight="false" outlineLevel="0" collapsed="false">
      <c r="A64" s="6" t="s">
        <v>792</v>
      </c>
      <c r="B64" s="6" t="s">
        <v>77</v>
      </c>
      <c r="C64" s="7" t="s">
        <v>793</v>
      </c>
      <c r="D64" s="8" t="n">
        <v>17961</v>
      </c>
      <c r="E64" s="6" t="s">
        <v>671</v>
      </c>
      <c r="F64" s="11" t="n">
        <v>0.1</v>
      </c>
      <c r="G64" s="8" t="n">
        <v>16164</v>
      </c>
      <c r="H64" s="9" t="n">
        <v>0.108</v>
      </c>
      <c r="I64" s="8" t="n">
        <v>14418</v>
      </c>
      <c r="J64" s="6" t="n">
        <v>148</v>
      </c>
      <c r="K64" s="8" t="n">
        <v>2392272</v>
      </c>
      <c r="L64" s="6" t="n">
        <v>110</v>
      </c>
      <c r="M64" s="6" t="n">
        <v>4.5</v>
      </c>
    </row>
    <row r="65" customFormat="false" ht="15" hidden="false" customHeight="false" outlineLevel="0" collapsed="false">
      <c r="A65" s="6" t="s">
        <v>794</v>
      </c>
      <c r="B65" s="6" t="s">
        <v>78</v>
      </c>
      <c r="C65" s="7" t="s">
        <v>795</v>
      </c>
      <c r="D65" s="8" t="n">
        <v>15669</v>
      </c>
      <c r="E65" s="6" t="s">
        <v>668</v>
      </c>
      <c r="F65" s="11" t="n">
        <v>0.15</v>
      </c>
      <c r="G65" s="8" t="n">
        <v>13318</v>
      </c>
      <c r="H65" s="9" t="n">
        <v>0.065</v>
      </c>
      <c r="I65" s="8" t="n">
        <v>12452</v>
      </c>
      <c r="J65" s="6" t="n">
        <v>96</v>
      </c>
      <c r="K65" s="8" t="n">
        <v>1278528</v>
      </c>
      <c r="L65" s="6" t="n">
        <v>240</v>
      </c>
      <c r="M65" s="6" t="n">
        <v>4.7</v>
      </c>
    </row>
    <row r="66" customFormat="false" ht="15" hidden="false" customHeight="false" outlineLevel="0" collapsed="false">
      <c r="A66" s="6" t="s">
        <v>796</v>
      </c>
      <c r="B66" s="6" t="s">
        <v>79</v>
      </c>
      <c r="C66" s="7" t="s">
        <v>797</v>
      </c>
      <c r="D66" s="8" t="n">
        <v>19014</v>
      </c>
      <c r="E66" s="6" t="s">
        <v>671</v>
      </c>
      <c r="F66" s="11" t="n">
        <v>0.05</v>
      </c>
      <c r="G66" s="8" t="n">
        <v>18063</v>
      </c>
      <c r="H66" s="9" t="n">
        <v>0.108</v>
      </c>
      <c r="I66" s="8" t="n">
        <v>16112</v>
      </c>
      <c r="J66" s="6" t="n">
        <v>252</v>
      </c>
      <c r="K66" s="8" t="n">
        <v>4551876</v>
      </c>
      <c r="L66" s="6" t="n">
        <v>58</v>
      </c>
      <c r="M66" s="6" t="n">
        <v>4.5</v>
      </c>
    </row>
    <row r="67" customFormat="false" ht="15" hidden="false" customHeight="false" outlineLevel="0" collapsed="false">
      <c r="A67" s="6" t="s">
        <v>798</v>
      </c>
      <c r="B67" s="6" t="s">
        <v>80</v>
      </c>
      <c r="C67" s="7" t="s">
        <v>799</v>
      </c>
      <c r="D67" s="8" t="n">
        <v>17690</v>
      </c>
      <c r="E67" s="6" t="s">
        <v>671</v>
      </c>
      <c r="F67" s="11" t="n">
        <v>0.05</v>
      </c>
      <c r="G67" s="8" t="n">
        <v>16805</v>
      </c>
      <c r="H67" s="9" t="n">
        <v>0.108</v>
      </c>
      <c r="I67" s="8" t="n">
        <v>14990</v>
      </c>
      <c r="J67" s="6" t="n">
        <v>239</v>
      </c>
      <c r="K67" s="8" t="n">
        <v>4016395</v>
      </c>
      <c r="L67" s="6" t="n">
        <v>368</v>
      </c>
      <c r="M67" s="6" t="n">
        <v>4.4</v>
      </c>
    </row>
    <row r="68" customFormat="false" ht="15" hidden="false" customHeight="false" outlineLevel="0" collapsed="false">
      <c r="A68" s="6" t="s">
        <v>800</v>
      </c>
      <c r="B68" s="6" t="s">
        <v>83</v>
      </c>
      <c r="C68" s="7" t="s">
        <v>801</v>
      </c>
      <c r="D68" s="8" t="n">
        <v>32104</v>
      </c>
      <c r="E68" s="6" t="s">
        <v>668</v>
      </c>
      <c r="F68" s="11" t="n">
        <v>0.15</v>
      </c>
      <c r="G68" s="8" t="n">
        <v>27288</v>
      </c>
      <c r="H68" s="9" t="n">
        <v>0.065</v>
      </c>
      <c r="I68" s="8" t="n">
        <v>25514</v>
      </c>
      <c r="J68" s="6" t="n">
        <v>71</v>
      </c>
      <c r="K68" s="8" t="n">
        <v>1937448</v>
      </c>
      <c r="L68" s="6" t="n">
        <v>67</v>
      </c>
      <c r="M68" s="6" t="n">
        <v>4</v>
      </c>
    </row>
    <row r="69" customFormat="false" ht="15" hidden="false" customHeight="false" outlineLevel="0" collapsed="false">
      <c r="A69" s="6" t="s">
        <v>802</v>
      </c>
      <c r="B69" s="6" t="s">
        <v>84</v>
      </c>
      <c r="C69" s="7" t="s">
        <v>803</v>
      </c>
      <c r="D69" s="8" t="n">
        <v>27691</v>
      </c>
      <c r="E69" s="6" t="s">
        <v>668</v>
      </c>
      <c r="F69" s="11" t="n">
        <v>0.15</v>
      </c>
      <c r="G69" s="8" t="n">
        <v>23537</v>
      </c>
      <c r="H69" s="9" t="n">
        <v>0.065</v>
      </c>
      <c r="I69" s="8" t="n">
        <v>22007</v>
      </c>
      <c r="J69" s="6" t="n">
        <v>183</v>
      </c>
      <c r="K69" s="8" t="n">
        <v>4307271</v>
      </c>
      <c r="L69" s="6" t="n">
        <v>99</v>
      </c>
      <c r="M69" s="6" t="n">
        <v>4</v>
      </c>
    </row>
    <row r="70" customFormat="false" ht="15" hidden="false" customHeight="false" outlineLevel="0" collapsed="false">
      <c r="A70" s="6" t="s">
        <v>804</v>
      </c>
      <c r="B70" s="6" t="s">
        <v>85</v>
      </c>
      <c r="C70" s="7" t="s">
        <v>805</v>
      </c>
      <c r="D70" s="8" t="n">
        <v>34960</v>
      </c>
      <c r="E70" s="6" t="s">
        <v>671</v>
      </c>
      <c r="F70" s="11" t="n">
        <v>0.2</v>
      </c>
      <c r="G70" s="8" t="n">
        <v>27968</v>
      </c>
      <c r="H70" s="9" t="n">
        <v>0.108</v>
      </c>
      <c r="I70" s="8" t="n">
        <v>24947</v>
      </c>
      <c r="J70" s="6" t="n">
        <v>535</v>
      </c>
      <c r="K70" s="8" t="n">
        <v>14962880</v>
      </c>
      <c r="L70" s="6" t="n">
        <v>99</v>
      </c>
      <c r="M70" s="6" t="n">
        <v>4.5</v>
      </c>
    </row>
    <row r="71" customFormat="false" ht="15" hidden="false" customHeight="false" outlineLevel="0" collapsed="false">
      <c r="A71" s="6" t="s">
        <v>806</v>
      </c>
      <c r="B71" s="6" t="s">
        <v>87</v>
      </c>
      <c r="C71" s="7" t="s">
        <v>807</v>
      </c>
      <c r="D71" s="8" t="n">
        <v>25139</v>
      </c>
      <c r="E71" s="6" t="s">
        <v>671</v>
      </c>
      <c r="F71" s="11" t="n">
        <v>0.15</v>
      </c>
      <c r="G71" s="8" t="n">
        <v>21368</v>
      </c>
      <c r="H71" s="9" t="n">
        <v>0.108</v>
      </c>
      <c r="I71" s="8" t="n">
        <v>19060</v>
      </c>
      <c r="J71" s="6" t="n">
        <v>181</v>
      </c>
      <c r="K71" s="8" t="n">
        <v>3867608</v>
      </c>
      <c r="L71" s="6" t="n">
        <v>418</v>
      </c>
      <c r="M71" s="6" t="n">
        <v>4.4</v>
      </c>
    </row>
    <row r="72" customFormat="false" ht="15" hidden="false" customHeight="false" outlineLevel="0" collapsed="false">
      <c r="A72" s="6" t="s">
        <v>808</v>
      </c>
      <c r="B72" s="6" t="s">
        <v>88</v>
      </c>
      <c r="C72" s="7" t="s">
        <v>809</v>
      </c>
      <c r="D72" s="8" t="n">
        <v>38032</v>
      </c>
      <c r="E72" s="6" t="s">
        <v>668</v>
      </c>
      <c r="F72" s="11" t="n">
        <v>0.1</v>
      </c>
      <c r="G72" s="8" t="n">
        <v>34228</v>
      </c>
      <c r="H72" s="9" t="n">
        <v>0.065</v>
      </c>
      <c r="I72" s="8" t="n">
        <v>32003</v>
      </c>
      <c r="J72" s="6" t="n">
        <v>220</v>
      </c>
      <c r="K72" s="8" t="n">
        <v>7530160</v>
      </c>
      <c r="L72" s="6" t="n">
        <v>26</v>
      </c>
      <c r="M72" s="6" t="n">
        <v>4.5</v>
      </c>
    </row>
    <row r="73" customFormat="false" ht="15" hidden="false" customHeight="false" outlineLevel="0" collapsed="false">
      <c r="A73" s="6" t="s">
        <v>810</v>
      </c>
      <c r="B73" s="6" t="s">
        <v>89</v>
      </c>
      <c r="C73" s="7" t="s">
        <v>811</v>
      </c>
      <c r="D73" s="8" t="n">
        <v>9107</v>
      </c>
      <c r="E73" s="6" t="s">
        <v>671</v>
      </c>
      <c r="F73" s="11" t="n">
        <v>0.05</v>
      </c>
      <c r="G73" s="8" t="n">
        <v>8651</v>
      </c>
      <c r="H73" s="9" t="n">
        <v>0.108</v>
      </c>
      <c r="I73" s="8" t="n">
        <v>7716</v>
      </c>
      <c r="J73" s="6" t="n">
        <v>481</v>
      </c>
      <c r="K73" s="8" t="n">
        <v>4161131</v>
      </c>
      <c r="L73" s="6" t="n">
        <v>244</v>
      </c>
      <c r="M73" s="6" t="n">
        <v>4.2</v>
      </c>
    </row>
    <row r="74" customFormat="false" ht="15" hidden="false" customHeight="false" outlineLevel="0" collapsed="false">
      <c r="A74" s="6" t="s">
        <v>812</v>
      </c>
      <c r="B74" s="6" t="s">
        <v>90</v>
      </c>
      <c r="C74" s="7" t="s">
        <v>813</v>
      </c>
      <c r="D74" s="8" t="n">
        <v>9241</v>
      </c>
      <c r="E74" s="6" t="s">
        <v>668</v>
      </c>
      <c r="F74" s="11" t="n">
        <v>0.2</v>
      </c>
      <c r="G74" s="8" t="n">
        <v>7392</v>
      </c>
      <c r="H74" s="9" t="n">
        <v>0.065</v>
      </c>
      <c r="I74" s="8" t="n">
        <v>6911</v>
      </c>
      <c r="J74" s="6" t="n">
        <v>45</v>
      </c>
      <c r="K74" s="8" t="n">
        <v>332640</v>
      </c>
      <c r="L74" s="6" t="n">
        <v>249</v>
      </c>
      <c r="M74" s="6" t="n">
        <v>4.4</v>
      </c>
    </row>
    <row r="75" customFormat="false" ht="15" hidden="false" customHeight="false" outlineLevel="0" collapsed="false">
      <c r="A75" s="6" t="s">
        <v>814</v>
      </c>
      <c r="B75" s="6" t="s">
        <v>25</v>
      </c>
      <c r="C75" s="7" t="s">
        <v>815</v>
      </c>
      <c r="D75" s="8" t="n">
        <v>7489</v>
      </c>
      <c r="E75" s="6" t="s">
        <v>671</v>
      </c>
      <c r="F75" s="11" t="n">
        <v>0.15</v>
      </c>
      <c r="G75" s="8" t="n">
        <v>6365</v>
      </c>
      <c r="H75" s="9" t="n">
        <v>0.108</v>
      </c>
      <c r="I75" s="8" t="n">
        <v>5677</v>
      </c>
      <c r="J75" s="6" t="n">
        <v>455</v>
      </c>
      <c r="K75" s="8" t="n">
        <v>2896075</v>
      </c>
      <c r="L75" s="6" t="n">
        <v>228</v>
      </c>
      <c r="M75" s="6" t="n">
        <v>4.2</v>
      </c>
    </row>
    <row r="76" customFormat="false" ht="15" hidden="false" customHeight="false" outlineLevel="0" collapsed="false">
      <c r="A76" s="6" t="s">
        <v>816</v>
      </c>
      <c r="B76" s="6" t="s">
        <v>26</v>
      </c>
      <c r="C76" s="7" t="s">
        <v>817</v>
      </c>
      <c r="D76" s="8" t="n">
        <v>6767</v>
      </c>
      <c r="E76" s="6" t="s">
        <v>668</v>
      </c>
      <c r="F76" s="11" t="n">
        <v>0.05</v>
      </c>
      <c r="G76" s="8" t="n">
        <v>6428</v>
      </c>
      <c r="H76" s="9" t="n">
        <v>0.065</v>
      </c>
      <c r="I76" s="8" t="n">
        <v>6010</v>
      </c>
      <c r="J76" s="6" t="n">
        <v>174</v>
      </c>
      <c r="K76" s="8" t="n">
        <v>1118472</v>
      </c>
      <c r="L76" s="6" t="n">
        <v>440</v>
      </c>
      <c r="M76" s="6" t="n">
        <v>4.6</v>
      </c>
    </row>
    <row r="77" customFormat="false" ht="15" hidden="false" customHeight="false" outlineLevel="0" collapsed="false">
      <c r="A77" s="6" t="s">
        <v>818</v>
      </c>
      <c r="B77" s="6" t="s">
        <v>27</v>
      </c>
      <c r="C77" s="7" t="s">
        <v>819</v>
      </c>
      <c r="D77" s="8" t="n">
        <v>8316</v>
      </c>
      <c r="E77" s="6" t="s">
        <v>671</v>
      </c>
      <c r="F77" s="11" t="n">
        <v>0.05</v>
      </c>
      <c r="G77" s="8" t="n">
        <v>7900</v>
      </c>
      <c r="H77" s="9" t="n">
        <v>0.108</v>
      </c>
      <c r="I77" s="8" t="n">
        <v>7046</v>
      </c>
      <c r="J77" s="6" t="n">
        <v>519</v>
      </c>
      <c r="K77" s="8" t="n">
        <v>4100100</v>
      </c>
      <c r="L77" s="6" t="n">
        <v>496</v>
      </c>
      <c r="M77" s="6" t="n">
        <v>4.2</v>
      </c>
    </row>
    <row r="78" customFormat="false" ht="15" hidden="false" customHeight="false" outlineLevel="0" collapsed="false">
      <c r="A78" s="6" t="s">
        <v>820</v>
      </c>
      <c r="B78" s="6" t="s">
        <v>28</v>
      </c>
      <c r="C78" s="7" t="s">
        <v>821</v>
      </c>
      <c r="D78" s="8" t="n">
        <v>8716</v>
      </c>
      <c r="E78" s="6" t="s">
        <v>671</v>
      </c>
      <c r="F78" s="11" t="n">
        <v>0.05</v>
      </c>
      <c r="G78" s="8" t="n">
        <v>8280</v>
      </c>
      <c r="H78" s="9" t="n">
        <v>0.108</v>
      </c>
      <c r="I78" s="8" t="n">
        <v>7385</v>
      </c>
      <c r="J78" s="6" t="n">
        <v>194</v>
      </c>
      <c r="K78" s="8" t="n">
        <v>1606320</v>
      </c>
      <c r="L78" s="6" t="n">
        <v>170</v>
      </c>
      <c r="M78" s="6" t="n">
        <v>4.3</v>
      </c>
    </row>
    <row r="79" customFormat="false" ht="15" hidden="false" customHeight="false" outlineLevel="0" collapsed="false">
      <c r="A79" s="6" t="s">
        <v>822</v>
      </c>
      <c r="B79" s="6" t="s">
        <v>29</v>
      </c>
      <c r="C79" s="7" t="s">
        <v>823</v>
      </c>
      <c r="D79" s="8" t="n">
        <v>11010</v>
      </c>
      <c r="E79" s="6" t="s">
        <v>668</v>
      </c>
      <c r="F79" s="11" t="n">
        <v>0</v>
      </c>
      <c r="G79" s="8" t="n">
        <v>11010</v>
      </c>
      <c r="H79" s="9" t="n">
        <v>0.065</v>
      </c>
      <c r="I79" s="8" t="n">
        <v>10294</v>
      </c>
      <c r="J79" s="6" t="n">
        <v>22</v>
      </c>
      <c r="K79" s="8" t="n">
        <v>242220</v>
      </c>
      <c r="L79" s="6" t="n">
        <v>336</v>
      </c>
      <c r="M79" s="6" t="n">
        <v>4.7</v>
      </c>
    </row>
    <row r="80" customFormat="false" ht="15" hidden="false" customHeight="false" outlineLevel="0" collapsed="false">
      <c r="A80" s="6" t="s">
        <v>824</v>
      </c>
      <c r="B80" s="6" t="s">
        <v>30</v>
      </c>
      <c r="C80" s="7" t="s">
        <v>825</v>
      </c>
      <c r="D80" s="8" t="n">
        <v>13017</v>
      </c>
      <c r="E80" s="6" t="s">
        <v>671</v>
      </c>
      <c r="F80" s="11" t="n">
        <v>0</v>
      </c>
      <c r="G80" s="8" t="n">
        <v>13017</v>
      </c>
      <c r="H80" s="9" t="n">
        <v>0.108</v>
      </c>
      <c r="I80" s="8" t="n">
        <v>11611</v>
      </c>
      <c r="J80" s="6" t="n">
        <v>402</v>
      </c>
      <c r="K80" s="8" t="n">
        <v>5232834</v>
      </c>
      <c r="L80" s="6" t="n">
        <v>70</v>
      </c>
      <c r="M80" s="6" t="n">
        <v>4.8</v>
      </c>
    </row>
    <row r="81" customFormat="false" ht="15" hidden="false" customHeight="false" outlineLevel="0" collapsed="false">
      <c r="A81" s="6" t="s">
        <v>826</v>
      </c>
      <c r="B81" s="6" t="s">
        <v>31</v>
      </c>
      <c r="C81" s="7" t="s">
        <v>827</v>
      </c>
      <c r="D81" s="8" t="n">
        <v>11533</v>
      </c>
      <c r="E81" s="6" t="s">
        <v>671</v>
      </c>
      <c r="F81" s="11" t="n">
        <v>0</v>
      </c>
      <c r="G81" s="8" t="n">
        <v>11533</v>
      </c>
      <c r="H81" s="9" t="n">
        <v>0.108</v>
      </c>
      <c r="I81" s="8" t="n">
        <v>10287</v>
      </c>
      <c r="J81" s="6" t="n">
        <v>528</v>
      </c>
      <c r="K81" s="8" t="n">
        <v>6089424</v>
      </c>
      <c r="L81" s="6" t="n">
        <v>330</v>
      </c>
      <c r="M81" s="6" t="n">
        <v>4.4</v>
      </c>
    </row>
    <row r="82" customFormat="false" ht="15" hidden="false" customHeight="false" outlineLevel="0" collapsed="false">
      <c r="A82" s="6" t="s">
        <v>828</v>
      </c>
      <c r="B82" s="6" t="s">
        <v>32</v>
      </c>
      <c r="C82" s="7" t="s">
        <v>829</v>
      </c>
      <c r="D82" s="8" t="n">
        <v>14286</v>
      </c>
      <c r="E82" s="6" t="s">
        <v>671</v>
      </c>
      <c r="F82" s="11" t="n">
        <v>0.2</v>
      </c>
      <c r="G82" s="8" t="n">
        <v>11428</v>
      </c>
      <c r="H82" s="9" t="n">
        <v>0.108</v>
      </c>
      <c r="I82" s="8" t="n">
        <v>10193</v>
      </c>
      <c r="J82" s="6" t="n">
        <v>56</v>
      </c>
      <c r="K82" s="8" t="n">
        <v>639968</v>
      </c>
      <c r="L82" s="6" t="n">
        <v>396</v>
      </c>
      <c r="M82" s="6" t="n">
        <v>4.6</v>
      </c>
    </row>
    <row r="83" customFormat="false" ht="15" hidden="false" customHeight="false" outlineLevel="0" collapsed="false">
      <c r="A83" s="6" t="s">
        <v>830</v>
      </c>
      <c r="B83" s="6" t="s">
        <v>34</v>
      </c>
      <c r="C83" s="7" t="s">
        <v>831</v>
      </c>
      <c r="D83" s="8" t="n">
        <v>19176</v>
      </c>
      <c r="E83" s="6" t="s">
        <v>671</v>
      </c>
      <c r="F83" s="11" t="n">
        <v>0.2</v>
      </c>
      <c r="G83" s="8" t="n">
        <v>15340</v>
      </c>
      <c r="H83" s="9" t="n">
        <v>0.108</v>
      </c>
      <c r="I83" s="8" t="n">
        <v>13683</v>
      </c>
      <c r="J83" s="6" t="n">
        <v>365</v>
      </c>
      <c r="K83" s="8" t="n">
        <v>5599100</v>
      </c>
      <c r="L83" s="6" t="n">
        <v>19</v>
      </c>
      <c r="M83" s="6" t="n">
        <v>4.7</v>
      </c>
    </row>
    <row r="84" customFormat="false" ht="15" hidden="false" customHeight="false" outlineLevel="0" collapsed="false">
      <c r="A84" s="6" t="s">
        <v>832</v>
      </c>
      <c r="B84" s="6" t="s">
        <v>35</v>
      </c>
      <c r="C84" s="7" t="s">
        <v>833</v>
      </c>
      <c r="D84" s="8" t="n">
        <v>8362</v>
      </c>
      <c r="E84" s="6" t="s">
        <v>668</v>
      </c>
      <c r="F84" s="11" t="n">
        <v>0.05</v>
      </c>
      <c r="G84" s="8" t="n">
        <v>7943</v>
      </c>
      <c r="H84" s="9" t="n">
        <v>0.065</v>
      </c>
      <c r="I84" s="8" t="n">
        <v>7426</v>
      </c>
      <c r="J84" s="6" t="n">
        <v>137</v>
      </c>
      <c r="K84" s="8" t="n">
        <v>1088191</v>
      </c>
      <c r="L84" s="6" t="n">
        <v>201</v>
      </c>
      <c r="M84" s="6" t="n">
        <v>4.5</v>
      </c>
    </row>
    <row r="85" customFormat="false" ht="15" hidden="false" customHeight="false" outlineLevel="0" collapsed="false">
      <c r="A85" s="6" t="s">
        <v>834</v>
      </c>
      <c r="B85" s="6" t="s">
        <v>36</v>
      </c>
      <c r="C85" s="7" t="s">
        <v>835</v>
      </c>
      <c r="D85" s="8" t="n">
        <v>21703</v>
      </c>
      <c r="E85" s="6" t="s">
        <v>671</v>
      </c>
      <c r="F85" s="11" t="n">
        <v>0.05</v>
      </c>
      <c r="G85" s="8" t="n">
        <v>20617</v>
      </c>
      <c r="H85" s="9" t="n">
        <v>0.108</v>
      </c>
      <c r="I85" s="8" t="n">
        <v>18390</v>
      </c>
      <c r="J85" s="6" t="n">
        <v>226</v>
      </c>
      <c r="K85" s="8" t="n">
        <v>4659442</v>
      </c>
      <c r="L85" s="6" t="n">
        <v>313</v>
      </c>
      <c r="M85" s="6" t="n">
        <v>4.6</v>
      </c>
    </row>
    <row r="86" customFormat="false" ht="15" hidden="false" customHeight="false" outlineLevel="0" collapsed="false">
      <c r="A86" s="6" t="s">
        <v>836</v>
      </c>
      <c r="B86" s="6" t="s">
        <v>37</v>
      </c>
      <c r="C86" s="7" t="s">
        <v>837</v>
      </c>
      <c r="D86" s="8" t="n">
        <v>32013</v>
      </c>
      <c r="E86" s="6" t="s">
        <v>671</v>
      </c>
      <c r="F86" s="11" t="n">
        <v>0.2</v>
      </c>
      <c r="G86" s="8" t="n">
        <v>25610</v>
      </c>
      <c r="H86" s="9" t="n">
        <v>0.108</v>
      </c>
      <c r="I86" s="8" t="n">
        <v>22844</v>
      </c>
      <c r="J86" s="6" t="n">
        <v>447</v>
      </c>
      <c r="K86" s="8" t="n">
        <v>11447670</v>
      </c>
      <c r="L86" s="6" t="n">
        <v>31</v>
      </c>
      <c r="M86" s="6" t="n">
        <v>4.6</v>
      </c>
    </row>
    <row r="87" customFormat="false" ht="15" hidden="false" customHeight="false" outlineLevel="0" collapsed="false">
      <c r="A87" s="6" t="s">
        <v>838</v>
      </c>
      <c r="B87" s="6" t="s">
        <v>38</v>
      </c>
      <c r="C87" s="7" t="s">
        <v>839</v>
      </c>
      <c r="D87" s="8" t="n">
        <v>47415</v>
      </c>
      <c r="E87" s="6" t="s">
        <v>671</v>
      </c>
      <c r="F87" s="11" t="n">
        <v>0.1</v>
      </c>
      <c r="G87" s="8" t="n">
        <v>42673</v>
      </c>
      <c r="H87" s="9" t="n">
        <v>0.108</v>
      </c>
      <c r="I87" s="8" t="n">
        <v>38064</v>
      </c>
      <c r="J87" s="6" t="n">
        <v>543</v>
      </c>
      <c r="K87" s="8" t="n">
        <v>23171439</v>
      </c>
      <c r="L87" s="6" t="n">
        <v>198</v>
      </c>
      <c r="M87" s="6" t="n">
        <v>4.3</v>
      </c>
    </row>
    <row r="88" customFormat="false" ht="15" hidden="false" customHeight="false" outlineLevel="0" collapsed="false">
      <c r="A88" s="6" t="s">
        <v>840</v>
      </c>
      <c r="B88" s="6" t="s">
        <v>39</v>
      </c>
      <c r="C88" s="7" t="s">
        <v>841</v>
      </c>
      <c r="D88" s="8" t="n">
        <v>39728</v>
      </c>
      <c r="E88" s="6" t="s">
        <v>671</v>
      </c>
      <c r="F88" s="11" t="n">
        <v>0.2</v>
      </c>
      <c r="G88" s="8" t="n">
        <v>31782</v>
      </c>
      <c r="H88" s="9" t="n">
        <v>0.108</v>
      </c>
      <c r="I88" s="8" t="n">
        <v>28349</v>
      </c>
      <c r="J88" s="6" t="n">
        <v>552</v>
      </c>
      <c r="K88" s="8" t="n">
        <v>17543664</v>
      </c>
      <c r="L88" s="6" t="n">
        <v>28</v>
      </c>
      <c r="M88" s="6" t="n">
        <v>4.6</v>
      </c>
    </row>
    <row r="89" customFormat="false" ht="15" hidden="false" customHeight="false" outlineLevel="0" collapsed="false">
      <c r="A89" s="6" t="s">
        <v>842</v>
      </c>
      <c r="B89" s="6" t="s">
        <v>40</v>
      </c>
      <c r="C89" s="7" t="s">
        <v>843</v>
      </c>
      <c r="D89" s="8" t="n">
        <v>46622</v>
      </c>
      <c r="E89" s="6" t="s">
        <v>668</v>
      </c>
      <c r="F89" s="11" t="n">
        <v>0.1</v>
      </c>
      <c r="G89" s="8" t="n">
        <v>41959</v>
      </c>
      <c r="H89" s="9" t="n">
        <v>0.065</v>
      </c>
      <c r="I89" s="8" t="n">
        <v>39231</v>
      </c>
      <c r="J89" s="6" t="n">
        <v>31</v>
      </c>
      <c r="K89" s="8" t="n">
        <v>1300729</v>
      </c>
      <c r="L89" s="6" t="n">
        <v>30</v>
      </c>
      <c r="M89" s="6" t="n">
        <v>4.4</v>
      </c>
    </row>
    <row r="90" customFormat="false" ht="15" hidden="false" customHeight="false" outlineLevel="0" collapsed="false">
      <c r="A90" s="6" t="s">
        <v>844</v>
      </c>
      <c r="B90" s="6" t="s">
        <v>41</v>
      </c>
      <c r="C90" s="7" t="s">
        <v>845</v>
      </c>
      <c r="D90" s="8" t="n">
        <v>43861</v>
      </c>
      <c r="E90" s="6" t="s">
        <v>668</v>
      </c>
      <c r="F90" s="11" t="n">
        <v>0.05</v>
      </c>
      <c r="G90" s="8" t="n">
        <v>41667</v>
      </c>
      <c r="H90" s="9" t="n">
        <v>0.065</v>
      </c>
      <c r="I90" s="8" t="n">
        <v>38958</v>
      </c>
      <c r="J90" s="6" t="n">
        <v>119</v>
      </c>
      <c r="K90" s="8" t="n">
        <v>4958373</v>
      </c>
      <c r="L90" s="6" t="n">
        <v>74</v>
      </c>
      <c r="M90" s="6" t="n">
        <v>4.7</v>
      </c>
    </row>
    <row r="91" customFormat="false" ht="15" hidden="false" customHeight="false" outlineLevel="0" collapsed="false">
      <c r="A91" s="6" t="s">
        <v>846</v>
      </c>
      <c r="B91" s="6" t="s">
        <v>42</v>
      </c>
      <c r="C91" s="7" t="s">
        <v>847</v>
      </c>
      <c r="D91" s="8" t="n">
        <v>67414</v>
      </c>
      <c r="E91" s="6" t="s">
        <v>668</v>
      </c>
      <c r="F91" s="11" t="n">
        <v>0.1</v>
      </c>
      <c r="G91" s="8" t="n">
        <v>60672</v>
      </c>
      <c r="H91" s="9" t="n">
        <v>0.065</v>
      </c>
      <c r="I91" s="8" t="n">
        <v>56728</v>
      </c>
      <c r="J91" s="6" t="n">
        <v>136</v>
      </c>
      <c r="K91" s="8" t="n">
        <v>8251392</v>
      </c>
      <c r="L91" s="6" t="n">
        <v>71</v>
      </c>
      <c r="M91" s="6" t="n">
        <v>4.2</v>
      </c>
    </row>
    <row r="92" customFormat="false" ht="15" hidden="false" customHeight="false" outlineLevel="0" collapsed="false">
      <c r="A92" s="6" t="s">
        <v>848</v>
      </c>
      <c r="B92" s="6" t="s">
        <v>43</v>
      </c>
      <c r="C92" s="7" t="s">
        <v>849</v>
      </c>
      <c r="D92" s="8" t="n">
        <v>25974</v>
      </c>
      <c r="E92" s="6" t="s">
        <v>668</v>
      </c>
      <c r="F92" s="11" t="n">
        <v>0.2</v>
      </c>
      <c r="G92" s="8" t="n">
        <v>20779</v>
      </c>
      <c r="H92" s="9" t="n">
        <v>0.065</v>
      </c>
      <c r="I92" s="8" t="n">
        <v>19428</v>
      </c>
      <c r="J92" s="6" t="n">
        <v>87</v>
      </c>
      <c r="K92" s="8" t="n">
        <v>1807773</v>
      </c>
      <c r="L92" s="6" t="n">
        <v>13</v>
      </c>
      <c r="M92" s="6" t="n">
        <v>4.3</v>
      </c>
    </row>
    <row r="93" customFormat="false" ht="15" hidden="false" customHeight="false" outlineLevel="0" collapsed="false">
      <c r="A93" s="6" t="s">
        <v>850</v>
      </c>
      <c r="B93" s="6" t="s">
        <v>44</v>
      </c>
      <c r="C93" s="7" t="s">
        <v>851</v>
      </c>
      <c r="D93" s="8" t="n">
        <v>91908</v>
      </c>
      <c r="E93" s="6" t="s">
        <v>671</v>
      </c>
      <c r="F93" s="11" t="n">
        <v>0.1</v>
      </c>
      <c r="G93" s="8" t="n">
        <v>82717</v>
      </c>
      <c r="H93" s="9" t="n">
        <v>0.108</v>
      </c>
      <c r="I93" s="8" t="n">
        <v>73783</v>
      </c>
      <c r="J93" s="6" t="n">
        <v>412</v>
      </c>
      <c r="K93" s="8" t="n">
        <v>34079404</v>
      </c>
      <c r="L93" s="6" t="n">
        <v>411</v>
      </c>
      <c r="M93" s="6" t="n">
        <v>4.8</v>
      </c>
    </row>
    <row r="94" customFormat="false" ht="15" hidden="false" customHeight="false" outlineLevel="0" collapsed="false">
      <c r="A94" s="6" t="s">
        <v>852</v>
      </c>
      <c r="B94" s="6" t="s">
        <v>45</v>
      </c>
      <c r="C94" s="7" t="s">
        <v>853</v>
      </c>
      <c r="D94" s="8" t="n">
        <v>35806</v>
      </c>
      <c r="E94" s="6" t="s">
        <v>671</v>
      </c>
      <c r="F94" s="11" t="n">
        <v>0.05</v>
      </c>
      <c r="G94" s="8" t="n">
        <v>34015</v>
      </c>
      <c r="H94" s="9" t="n">
        <v>0.108</v>
      </c>
      <c r="I94" s="8" t="n">
        <v>30341</v>
      </c>
      <c r="J94" s="6" t="n">
        <v>365</v>
      </c>
      <c r="K94" s="8" t="n">
        <v>12415475</v>
      </c>
      <c r="L94" s="6" t="n">
        <v>475</v>
      </c>
      <c r="M94" s="6" t="n">
        <v>4.8</v>
      </c>
    </row>
    <row r="95" customFormat="false" ht="15" hidden="false" customHeight="false" outlineLevel="0" collapsed="false">
      <c r="A95" s="6" t="s">
        <v>854</v>
      </c>
      <c r="B95" s="6" t="s">
        <v>46</v>
      </c>
      <c r="C95" s="7" t="s">
        <v>855</v>
      </c>
      <c r="D95" s="8" t="n">
        <v>27559</v>
      </c>
      <c r="E95" s="6" t="s">
        <v>671</v>
      </c>
      <c r="F95" s="11" t="n">
        <v>0.1</v>
      </c>
      <c r="G95" s="8" t="n">
        <v>24803</v>
      </c>
      <c r="H95" s="9" t="n">
        <v>0.108</v>
      </c>
      <c r="I95" s="8" t="n">
        <v>22124</v>
      </c>
      <c r="J95" s="6" t="n">
        <v>224</v>
      </c>
      <c r="K95" s="8" t="n">
        <v>5555872</v>
      </c>
      <c r="L95" s="6" t="n">
        <v>412</v>
      </c>
      <c r="M95" s="6" t="n">
        <v>4.1</v>
      </c>
    </row>
    <row r="96" customFormat="false" ht="15" hidden="false" customHeight="false" outlineLevel="0" collapsed="false">
      <c r="A96" s="6" t="s">
        <v>856</v>
      </c>
      <c r="B96" s="6" t="s">
        <v>47</v>
      </c>
      <c r="C96" s="7" t="s">
        <v>857</v>
      </c>
      <c r="D96" s="8" t="n">
        <v>51835</v>
      </c>
      <c r="E96" s="6" t="s">
        <v>668</v>
      </c>
      <c r="F96" s="11" t="n">
        <v>0.1</v>
      </c>
      <c r="G96" s="8" t="n">
        <v>46651</v>
      </c>
      <c r="H96" s="9" t="n">
        <v>0.065</v>
      </c>
      <c r="I96" s="8" t="n">
        <v>43618</v>
      </c>
      <c r="J96" s="6" t="n">
        <v>127</v>
      </c>
      <c r="K96" s="8" t="n">
        <v>5924677</v>
      </c>
      <c r="L96" s="6" t="n">
        <v>18</v>
      </c>
      <c r="M96" s="6" t="n">
        <v>4.8</v>
      </c>
    </row>
    <row r="97" customFormat="false" ht="15" hidden="false" customHeight="false" outlineLevel="0" collapsed="false">
      <c r="A97" s="6" t="s">
        <v>858</v>
      </c>
      <c r="B97" s="6" t="s">
        <v>48</v>
      </c>
      <c r="C97" s="7" t="s">
        <v>859</v>
      </c>
      <c r="D97" s="8" t="n">
        <v>55267</v>
      </c>
      <c r="E97" s="6" t="s">
        <v>668</v>
      </c>
      <c r="F97" s="11" t="n">
        <v>0.05</v>
      </c>
      <c r="G97" s="8" t="n">
        <v>52503</v>
      </c>
      <c r="H97" s="9" t="n">
        <v>0.065</v>
      </c>
      <c r="I97" s="8" t="n">
        <v>49090</v>
      </c>
      <c r="J97" s="6" t="n">
        <v>216</v>
      </c>
      <c r="K97" s="8" t="n">
        <v>11340648</v>
      </c>
      <c r="L97" s="6" t="n">
        <v>388</v>
      </c>
      <c r="M97" s="6" t="n">
        <v>4.6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5" t="s">
        <v>860</v>
      </c>
      <c r="B1" s="5" t="s">
        <v>0</v>
      </c>
      <c r="C1" s="5" t="s">
        <v>389</v>
      </c>
      <c r="D1" s="5" t="s">
        <v>390</v>
      </c>
      <c r="E1" s="5" t="s">
        <v>391</v>
      </c>
      <c r="F1" s="5" t="s">
        <v>392</v>
      </c>
      <c r="G1" s="5" t="s">
        <v>393</v>
      </c>
      <c r="H1" s="5" t="s">
        <v>394</v>
      </c>
      <c r="I1" s="10" t="s">
        <v>395</v>
      </c>
      <c r="J1" s="10" t="s">
        <v>396</v>
      </c>
      <c r="K1" s="5" t="s">
        <v>861</v>
      </c>
    </row>
    <row r="2" customFormat="false" ht="15" hidden="false" customHeight="false" outlineLevel="0" collapsed="false">
      <c r="A2" s="6" t="s">
        <v>862</v>
      </c>
      <c r="B2" s="6" t="s">
        <v>65</v>
      </c>
      <c r="C2" s="6" t="s">
        <v>863</v>
      </c>
      <c r="D2" s="8" t="n">
        <v>13103</v>
      </c>
      <c r="E2" s="11" t="n">
        <v>0.1</v>
      </c>
      <c r="F2" s="8" t="n">
        <v>11792</v>
      </c>
      <c r="G2" s="9" t="n">
        <v>0.2</v>
      </c>
      <c r="H2" s="8" t="n">
        <v>9433</v>
      </c>
      <c r="I2" s="6" t="n">
        <v>119</v>
      </c>
      <c r="J2" s="8" t="n">
        <v>1403248</v>
      </c>
      <c r="K2" s="11" t="n">
        <v>0.8</v>
      </c>
    </row>
    <row r="3" customFormat="false" ht="15" hidden="false" customHeight="false" outlineLevel="0" collapsed="false">
      <c r="A3" s="6" t="s">
        <v>864</v>
      </c>
      <c r="B3" s="6" t="s">
        <v>66</v>
      </c>
      <c r="C3" s="6" t="s">
        <v>865</v>
      </c>
      <c r="D3" s="8" t="n">
        <v>11731</v>
      </c>
      <c r="E3" s="11" t="n">
        <v>0</v>
      </c>
      <c r="F3" s="8" t="n">
        <v>11731</v>
      </c>
      <c r="G3" s="9" t="n">
        <v>0.2</v>
      </c>
      <c r="H3" s="8" t="n">
        <v>9384</v>
      </c>
      <c r="I3" s="6" t="n">
        <v>163</v>
      </c>
      <c r="J3" s="8" t="n">
        <v>1912153</v>
      </c>
      <c r="K3" s="11" t="n">
        <v>0.89</v>
      </c>
    </row>
    <row r="4" customFormat="false" ht="15" hidden="false" customHeight="false" outlineLevel="0" collapsed="false">
      <c r="A4" s="6" t="s">
        <v>866</v>
      </c>
      <c r="B4" s="6" t="s">
        <v>67</v>
      </c>
      <c r="C4" s="6" t="s">
        <v>867</v>
      </c>
      <c r="D4" s="8" t="n">
        <v>10965</v>
      </c>
      <c r="E4" s="11" t="n">
        <v>0</v>
      </c>
      <c r="F4" s="8" t="n">
        <v>10965</v>
      </c>
      <c r="G4" s="9" t="n">
        <v>0.2</v>
      </c>
      <c r="H4" s="8" t="n">
        <v>8772</v>
      </c>
      <c r="I4" s="6" t="n">
        <v>217</v>
      </c>
      <c r="J4" s="8" t="n">
        <v>2379405</v>
      </c>
      <c r="K4" s="11" t="n">
        <v>0.88</v>
      </c>
    </row>
    <row r="5" customFormat="false" ht="15" hidden="false" customHeight="false" outlineLevel="0" collapsed="false">
      <c r="A5" s="6" t="s">
        <v>868</v>
      </c>
      <c r="B5" s="6" t="s">
        <v>68</v>
      </c>
      <c r="C5" s="6" t="s">
        <v>869</v>
      </c>
      <c r="D5" s="8" t="n">
        <v>12920</v>
      </c>
      <c r="E5" s="11" t="n">
        <v>0</v>
      </c>
      <c r="F5" s="8" t="n">
        <v>12920</v>
      </c>
      <c r="G5" s="9" t="n">
        <v>0.2</v>
      </c>
      <c r="H5" s="8" t="n">
        <v>10336</v>
      </c>
      <c r="I5" s="6" t="n">
        <v>185</v>
      </c>
      <c r="J5" s="8" t="n">
        <v>2390200</v>
      </c>
      <c r="K5" s="11" t="n">
        <v>0.69</v>
      </c>
    </row>
    <row r="6" customFormat="false" ht="15" hidden="false" customHeight="false" outlineLevel="0" collapsed="false">
      <c r="A6" s="6" t="s">
        <v>870</v>
      </c>
      <c r="B6" s="6" t="s">
        <v>69</v>
      </c>
      <c r="C6" s="6" t="s">
        <v>871</v>
      </c>
      <c r="D6" s="8" t="n">
        <v>15350</v>
      </c>
      <c r="E6" s="11" t="n">
        <v>0.1</v>
      </c>
      <c r="F6" s="8" t="n">
        <v>13815</v>
      </c>
      <c r="G6" s="9" t="n">
        <v>0.2</v>
      </c>
      <c r="H6" s="8" t="n">
        <v>11052</v>
      </c>
      <c r="I6" s="6" t="n">
        <v>126</v>
      </c>
      <c r="J6" s="8" t="n">
        <v>1740690</v>
      </c>
      <c r="K6" s="11" t="n">
        <v>0.91</v>
      </c>
    </row>
    <row r="7" customFormat="false" ht="15" hidden="false" customHeight="false" outlineLevel="0" collapsed="false">
      <c r="A7" s="6" t="s">
        <v>872</v>
      </c>
      <c r="B7" s="6" t="s">
        <v>70</v>
      </c>
      <c r="C7" s="6" t="s">
        <v>873</v>
      </c>
      <c r="D7" s="8" t="n">
        <v>16274</v>
      </c>
      <c r="E7" s="11" t="n">
        <v>0</v>
      </c>
      <c r="F7" s="8" t="n">
        <v>16274</v>
      </c>
      <c r="G7" s="9" t="n">
        <v>0.2</v>
      </c>
      <c r="H7" s="8" t="n">
        <v>13019</v>
      </c>
      <c r="I7" s="6" t="n">
        <v>191</v>
      </c>
      <c r="J7" s="8" t="n">
        <v>3108334</v>
      </c>
      <c r="K7" s="11" t="n">
        <v>0.74</v>
      </c>
    </row>
    <row r="8" customFormat="false" ht="15" hidden="false" customHeight="false" outlineLevel="0" collapsed="false">
      <c r="A8" s="6" t="s">
        <v>874</v>
      </c>
      <c r="B8" s="6" t="s">
        <v>71</v>
      </c>
      <c r="C8" s="6" t="s">
        <v>875</v>
      </c>
      <c r="D8" s="8" t="n">
        <v>12250</v>
      </c>
      <c r="E8" s="11" t="n">
        <v>0</v>
      </c>
      <c r="F8" s="8" t="n">
        <v>12250</v>
      </c>
      <c r="G8" s="9" t="n">
        <v>0.2</v>
      </c>
      <c r="H8" s="8" t="n">
        <v>9800</v>
      </c>
      <c r="I8" s="6" t="n">
        <v>76</v>
      </c>
      <c r="J8" s="8" t="n">
        <v>931000</v>
      </c>
      <c r="K8" s="11" t="n">
        <v>0.87</v>
      </c>
    </row>
    <row r="9" customFormat="false" ht="15" hidden="false" customHeight="false" outlineLevel="0" collapsed="false">
      <c r="A9" s="6" t="s">
        <v>876</v>
      </c>
      <c r="B9" s="6" t="s">
        <v>72</v>
      </c>
      <c r="C9" s="6" t="s">
        <v>877</v>
      </c>
      <c r="D9" s="8" t="n">
        <v>17986</v>
      </c>
      <c r="E9" s="11" t="n">
        <v>0</v>
      </c>
      <c r="F9" s="8" t="n">
        <v>17986</v>
      </c>
      <c r="G9" s="9" t="n">
        <v>0.2</v>
      </c>
      <c r="H9" s="8" t="n">
        <v>14388</v>
      </c>
      <c r="I9" s="6" t="n">
        <v>193</v>
      </c>
      <c r="J9" s="8" t="n">
        <v>3471298</v>
      </c>
      <c r="K9" s="11" t="n">
        <v>0.88</v>
      </c>
    </row>
    <row r="10" customFormat="false" ht="15" hidden="false" customHeight="false" outlineLevel="0" collapsed="false">
      <c r="A10" s="6" t="s">
        <v>878</v>
      </c>
      <c r="B10" s="6" t="s">
        <v>73</v>
      </c>
      <c r="C10" s="6" t="s">
        <v>879</v>
      </c>
      <c r="D10" s="8" t="n">
        <v>21065</v>
      </c>
      <c r="E10" s="11" t="n">
        <v>0.1</v>
      </c>
      <c r="F10" s="8" t="n">
        <v>18958</v>
      </c>
      <c r="G10" s="9" t="n">
        <v>0.2</v>
      </c>
      <c r="H10" s="8" t="n">
        <v>15166</v>
      </c>
      <c r="I10" s="6" t="n">
        <v>49</v>
      </c>
      <c r="J10" s="8" t="n">
        <v>928942</v>
      </c>
      <c r="K10" s="11" t="n">
        <v>0.86</v>
      </c>
    </row>
    <row r="11" customFormat="false" ht="15" hidden="false" customHeight="false" outlineLevel="0" collapsed="false">
      <c r="A11" s="6" t="s">
        <v>880</v>
      </c>
      <c r="B11" s="6" t="s">
        <v>74</v>
      </c>
      <c r="C11" s="6" t="s">
        <v>881</v>
      </c>
      <c r="D11" s="8" t="n">
        <v>19389</v>
      </c>
      <c r="E11" s="11" t="n">
        <v>0</v>
      </c>
      <c r="F11" s="8" t="n">
        <v>19389</v>
      </c>
      <c r="G11" s="9" t="n">
        <v>0.2</v>
      </c>
      <c r="H11" s="8" t="n">
        <v>15511</v>
      </c>
      <c r="I11" s="6" t="n">
        <v>115</v>
      </c>
      <c r="J11" s="8" t="n">
        <v>2229735</v>
      </c>
      <c r="K11" s="11" t="n">
        <v>0.6</v>
      </c>
    </row>
    <row r="12" customFormat="false" ht="15" hidden="false" customHeight="false" outlineLevel="0" collapsed="false">
      <c r="A12" s="6" t="s">
        <v>882</v>
      </c>
      <c r="B12" s="6" t="s">
        <v>75</v>
      </c>
      <c r="C12" s="6" t="s">
        <v>883</v>
      </c>
      <c r="D12" s="8" t="n">
        <v>17854</v>
      </c>
      <c r="E12" s="11" t="n">
        <v>0.05</v>
      </c>
      <c r="F12" s="8" t="n">
        <v>16961</v>
      </c>
      <c r="G12" s="9" t="n">
        <v>0.2</v>
      </c>
      <c r="H12" s="8" t="n">
        <v>13568</v>
      </c>
      <c r="I12" s="6" t="n">
        <v>93</v>
      </c>
      <c r="J12" s="8" t="n">
        <v>1577373</v>
      </c>
      <c r="K12" s="11" t="n">
        <v>0.85</v>
      </c>
    </row>
    <row r="13" customFormat="false" ht="15" hidden="false" customHeight="false" outlineLevel="0" collapsed="false">
      <c r="A13" s="6" t="s">
        <v>884</v>
      </c>
      <c r="B13" s="6" t="s">
        <v>76</v>
      </c>
      <c r="C13" s="6" t="s">
        <v>885</v>
      </c>
      <c r="D13" s="8" t="n">
        <v>26306</v>
      </c>
      <c r="E13" s="11" t="n">
        <v>0</v>
      </c>
      <c r="F13" s="8" t="n">
        <v>26306</v>
      </c>
      <c r="G13" s="9" t="n">
        <v>0.2</v>
      </c>
      <c r="H13" s="8" t="n">
        <v>21044</v>
      </c>
      <c r="I13" s="6" t="n">
        <v>105</v>
      </c>
      <c r="J13" s="8" t="n">
        <v>2762130</v>
      </c>
      <c r="K13" s="11" t="n">
        <v>0.8</v>
      </c>
    </row>
    <row r="14" customFormat="false" ht="15" hidden="false" customHeight="false" outlineLevel="0" collapsed="false">
      <c r="A14" s="6" t="s">
        <v>886</v>
      </c>
      <c r="B14" s="6" t="s">
        <v>14</v>
      </c>
      <c r="C14" s="6" t="s">
        <v>887</v>
      </c>
      <c r="D14" s="8" t="n">
        <v>17694</v>
      </c>
      <c r="E14" s="11" t="n">
        <v>0.1</v>
      </c>
      <c r="F14" s="8" t="n">
        <v>15924</v>
      </c>
      <c r="G14" s="9" t="n">
        <v>0.2</v>
      </c>
      <c r="H14" s="8" t="n">
        <v>12739</v>
      </c>
      <c r="I14" s="6" t="n">
        <v>17</v>
      </c>
      <c r="J14" s="8" t="n">
        <v>270708</v>
      </c>
      <c r="K14" s="11" t="n">
        <v>0.75</v>
      </c>
    </row>
    <row r="15" customFormat="false" ht="15" hidden="false" customHeight="false" outlineLevel="0" collapsed="false">
      <c r="A15" s="6" t="s">
        <v>888</v>
      </c>
      <c r="B15" s="6" t="s">
        <v>17</v>
      </c>
      <c r="C15" s="6" t="s">
        <v>889</v>
      </c>
      <c r="D15" s="8" t="n">
        <v>30617</v>
      </c>
      <c r="E15" s="11" t="n">
        <v>0</v>
      </c>
      <c r="F15" s="8" t="n">
        <v>30617</v>
      </c>
      <c r="G15" s="9" t="n">
        <v>0.2</v>
      </c>
      <c r="H15" s="8" t="n">
        <v>24493</v>
      </c>
      <c r="I15" s="6" t="n">
        <v>186</v>
      </c>
      <c r="J15" s="8" t="n">
        <v>5694762</v>
      </c>
      <c r="K15" s="11" t="n">
        <v>0.69</v>
      </c>
    </row>
    <row r="16" customFormat="false" ht="15" hidden="false" customHeight="false" outlineLevel="0" collapsed="false">
      <c r="A16" s="6" t="s">
        <v>890</v>
      </c>
      <c r="B16" s="6" t="s">
        <v>18</v>
      </c>
      <c r="C16" s="6" t="s">
        <v>891</v>
      </c>
      <c r="D16" s="8" t="n">
        <v>31526</v>
      </c>
      <c r="E16" s="11" t="n">
        <v>0.1</v>
      </c>
      <c r="F16" s="8" t="n">
        <v>28373</v>
      </c>
      <c r="G16" s="9" t="n">
        <v>0.2</v>
      </c>
      <c r="H16" s="8" t="n">
        <v>22698</v>
      </c>
      <c r="I16" s="6" t="n">
        <v>199</v>
      </c>
      <c r="J16" s="8" t="n">
        <v>5646227</v>
      </c>
      <c r="K16" s="11" t="n">
        <v>0.71</v>
      </c>
    </row>
    <row r="17" customFormat="false" ht="15" hidden="false" customHeight="false" outlineLevel="0" collapsed="false">
      <c r="A17" s="6" t="s">
        <v>892</v>
      </c>
      <c r="B17" s="6" t="s">
        <v>19</v>
      </c>
      <c r="C17" s="6" t="s">
        <v>893</v>
      </c>
      <c r="D17" s="8" t="n">
        <v>33955</v>
      </c>
      <c r="E17" s="11" t="n">
        <v>0.05</v>
      </c>
      <c r="F17" s="8" t="n">
        <v>32257</v>
      </c>
      <c r="G17" s="9" t="n">
        <v>0.2</v>
      </c>
      <c r="H17" s="8" t="n">
        <v>25805</v>
      </c>
      <c r="I17" s="6" t="n">
        <v>67</v>
      </c>
      <c r="J17" s="8" t="n">
        <v>2161219</v>
      </c>
      <c r="K17" s="11" t="n">
        <v>0.77</v>
      </c>
    </row>
    <row r="18" customFormat="false" ht="15" hidden="false" customHeight="false" outlineLevel="0" collapsed="false">
      <c r="A18" s="6" t="s">
        <v>894</v>
      </c>
      <c r="B18" s="6" t="s">
        <v>22</v>
      </c>
      <c r="C18" s="6" t="s">
        <v>895</v>
      </c>
      <c r="D18" s="8" t="n">
        <v>23218</v>
      </c>
      <c r="E18" s="11" t="n">
        <v>0</v>
      </c>
      <c r="F18" s="8" t="n">
        <v>23218</v>
      </c>
      <c r="G18" s="9" t="n">
        <v>0.2</v>
      </c>
      <c r="H18" s="8" t="n">
        <v>18574</v>
      </c>
      <c r="I18" s="6" t="n">
        <v>35</v>
      </c>
      <c r="J18" s="8" t="n">
        <v>812630</v>
      </c>
      <c r="K18" s="11" t="n">
        <v>0.69</v>
      </c>
    </row>
    <row r="19" customFormat="false" ht="15" hidden="false" customHeight="false" outlineLevel="0" collapsed="false">
      <c r="A19" s="6" t="s">
        <v>896</v>
      </c>
      <c r="B19" s="6" t="s">
        <v>24</v>
      </c>
      <c r="C19" s="6" t="s">
        <v>897</v>
      </c>
      <c r="D19" s="8" t="n">
        <v>27339</v>
      </c>
      <c r="E19" s="11" t="n">
        <v>0.05</v>
      </c>
      <c r="F19" s="8" t="n">
        <v>25972</v>
      </c>
      <c r="G19" s="9" t="n">
        <v>0.2</v>
      </c>
      <c r="H19" s="8" t="n">
        <v>20777</v>
      </c>
      <c r="I19" s="6" t="n">
        <v>115</v>
      </c>
      <c r="J19" s="8" t="n">
        <v>2986780</v>
      </c>
      <c r="K19" s="11" t="n">
        <v>0.81</v>
      </c>
    </row>
    <row r="20" customFormat="false" ht="15" hidden="false" customHeight="false" outlineLevel="0" collapsed="false">
      <c r="A20" s="6" t="s">
        <v>898</v>
      </c>
      <c r="B20" s="6" t="s">
        <v>77</v>
      </c>
      <c r="C20" s="6" t="s">
        <v>899</v>
      </c>
      <c r="D20" s="8" t="n">
        <v>19987</v>
      </c>
      <c r="E20" s="11" t="n">
        <v>0.05</v>
      </c>
      <c r="F20" s="8" t="n">
        <v>18987</v>
      </c>
      <c r="G20" s="9" t="n">
        <v>0.2</v>
      </c>
      <c r="H20" s="8" t="n">
        <v>15189</v>
      </c>
      <c r="I20" s="6" t="n">
        <v>157</v>
      </c>
      <c r="J20" s="8" t="n">
        <v>2980959</v>
      </c>
      <c r="K20" s="11" t="n">
        <v>0.74</v>
      </c>
    </row>
    <row r="21" customFormat="false" ht="15" hidden="false" customHeight="false" outlineLevel="0" collapsed="false">
      <c r="A21" s="6" t="s">
        <v>900</v>
      </c>
      <c r="B21" s="6" t="s">
        <v>78</v>
      </c>
      <c r="C21" s="6" t="s">
        <v>901</v>
      </c>
      <c r="D21" s="8" t="n">
        <v>16119</v>
      </c>
      <c r="E21" s="11" t="n">
        <v>0</v>
      </c>
      <c r="F21" s="8" t="n">
        <v>16119</v>
      </c>
      <c r="G21" s="9" t="n">
        <v>0.2</v>
      </c>
      <c r="H21" s="8" t="n">
        <v>12895</v>
      </c>
      <c r="I21" s="6" t="n">
        <v>148</v>
      </c>
      <c r="J21" s="8" t="n">
        <v>2385612</v>
      </c>
      <c r="K21" s="11" t="n">
        <v>0.8</v>
      </c>
    </row>
    <row r="22" customFormat="false" ht="15" hidden="false" customHeight="false" outlineLevel="0" collapsed="false">
      <c r="A22" s="6" t="s">
        <v>902</v>
      </c>
      <c r="B22" s="6" t="s">
        <v>79</v>
      </c>
      <c r="C22" s="6" t="s">
        <v>903</v>
      </c>
      <c r="D22" s="8" t="n">
        <v>20958</v>
      </c>
      <c r="E22" s="11" t="n">
        <v>0.1</v>
      </c>
      <c r="F22" s="8" t="n">
        <v>18862</v>
      </c>
      <c r="G22" s="9" t="n">
        <v>0.2</v>
      </c>
      <c r="H22" s="8" t="n">
        <v>15089</v>
      </c>
      <c r="I22" s="6" t="n">
        <v>151</v>
      </c>
      <c r="J22" s="8" t="n">
        <v>2848162</v>
      </c>
      <c r="K22" s="11" t="n">
        <v>0.83</v>
      </c>
    </row>
    <row r="23" customFormat="false" ht="15" hidden="false" customHeight="false" outlineLevel="0" collapsed="false">
      <c r="A23" s="6" t="s">
        <v>904</v>
      </c>
      <c r="B23" s="6" t="s">
        <v>80</v>
      </c>
      <c r="C23" s="6" t="s">
        <v>905</v>
      </c>
      <c r="D23" s="8" t="n">
        <v>18643</v>
      </c>
      <c r="E23" s="11" t="n">
        <v>0</v>
      </c>
      <c r="F23" s="8" t="n">
        <v>18643</v>
      </c>
      <c r="G23" s="9" t="n">
        <v>0.2</v>
      </c>
      <c r="H23" s="8" t="n">
        <v>14914</v>
      </c>
      <c r="I23" s="6" t="n">
        <v>182</v>
      </c>
      <c r="J23" s="8" t="n">
        <v>3393026</v>
      </c>
      <c r="K23" s="11" t="n">
        <v>0.68</v>
      </c>
    </row>
    <row r="24" customFormat="false" ht="15" hidden="false" customHeight="false" outlineLevel="0" collapsed="false">
      <c r="A24" s="6" t="s">
        <v>906</v>
      </c>
      <c r="B24" s="6" t="s">
        <v>81</v>
      </c>
      <c r="C24" s="6" t="s">
        <v>907</v>
      </c>
      <c r="D24" s="8" t="n">
        <v>18112</v>
      </c>
      <c r="E24" s="11" t="n">
        <v>0</v>
      </c>
      <c r="F24" s="8" t="n">
        <v>18112</v>
      </c>
      <c r="G24" s="9" t="n">
        <v>0.2</v>
      </c>
      <c r="H24" s="8" t="n">
        <v>14489</v>
      </c>
      <c r="I24" s="6" t="n">
        <v>213</v>
      </c>
      <c r="J24" s="8" t="n">
        <v>3857856</v>
      </c>
      <c r="K24" s="11" t="n">
        <v>0.85</v>
      </c>
    </row>
    <row r="25" customFormat="false" ht="15" hidden="false" customHeight="false" outlineLevel="0" collapsed="false">
      <c r="A25" s="6" t="s">
        <v>908</v>
      </c>
      <c r="B25" s="6" t="s">
        <v>82</v>
      </c>
      <c r="C25" s="6" t="s">
        <v>909</v>
      </c>
      <c r="D25" s="8" t="n">
        <v>23840</v>
      </c>
      <c r="E25" s="11" t="n">
        <v>0.1</v>
      </c>
      <c r="F25" s="8" t="n">
        <v>21456</v>
      </c>
      <c r="G25" s="9" t="n">
        <v>0.2</v>
      </c>
      <c r="H25" s="8" t="n">
        <v>17164</v>
      </c>
      <c r="I25" s="6" t="n">
        <v>72</v>
      </c>
      <c r="J25" s="8" t="n">
        <v>1544832</v>
      </c>
      <c r="K25" s="11" t="n">
        <v>0.92</v>
      </c>
    </row>
    <row r="26" customFormat="false" ht="15" hidden="false" customHeight="false" outlineLevel="0" collapsed="false">
      <c r="A26" s="6" t="s">
        <v>910</v>
      </c>
      <c r="B26" s="6" t="s">
        <v>83</v>
      </c>
      <c r="C26" s="6" t="s">
        <v>911</v>
      </c>
      <c r="D26" s="8" t="n">
        <v>33838</v>
      </c>
      <c r="E26" s="11" t="n">
        <v>0</v>
      </c>
      <c r="F26" s="8" t="n">
        <v>33838</v>
      </c>
      <c r="G26" s="9" t="n">
        <v>0.2</v>
      </c>
      <c r="H26" s="8" t="n">
        <v>27070</v>
      </c>
      <c r="I26" s="6" t="n">
        <v>157</v>
      </c>
      <c r="J26" s="8" t="n">
        <v>5312566</v>
      </c>
      <c r="K26" s="11" t="n">
        <v>0.68</v>
      </c>
    </row>
    <row r="27" customFormat="false" ht="15" hidden="false" customHeight="false" outlineLevel="0" collapsed="false">
      <c r="A27" s="6" t="s">
        <v>912</v>
      </c>
      <c r="B27" s="6" t="s">
        <v>84</v>
      </c>
      <c r="C27" s="6" t="s">
        <v>913</v>
      </c>
      <c r="D27" s="8" t="n">
        <v>30266</v>
      </c>
      <c r="E27" s="11" t="n">
        <v>0.1</v>
      </c>
      <c r="F27" s="8" t="n">
        <v>27239</v>
      </c>
      <c r="G27" s="9" t="n">
        <v>0.2</v>
      </c>
      <c r="H27" s="8" t="n">
        <v>21791</v>
      </c>
      <c r="I27" s="6" t="n">
        <v>97</v>
      </c>
      <c r="J27" s="8" t="n">
        <v>2642183</v>
      </c>
      <c r="K27" s="11" t="n">
        <v>0.72</v>
      </c>
    </row>
    <row r="28" customFormat="false" ht="15" hidden="false" customHeight="false" outlineLevel="0" collapsed="false">
      <c r="A28" s="6" t="s">
        <v>914</v>
      </c>
      <c r="B28" s="6" t="s">
        <v>85</v>
      </c>
      <c r="C28" s="6" t="s">
        <v>915</v>
      </c>
      <c r="D28" s="8" t="n">
        <v>36892</v>
      </c>
      <c r="E28" s="11" t="n">
        <v>0</v>
      </c>
      <c r="F28" s="8" t="n">
        <v>36892</v>
      </c>
      <c r="G28" s="9" t="n">
        <v>0.2</v>
      </c>
      <c r="H28" s="8" t="n">
        <v>29513</v>
      </c>
      <c r="I28" s="6" t="n">
        <v>151</v>
      </c>
      <c r="J28" s="8" t="n">
        <v>5570692</v>
      </c>
      <c r="K28" s="11" t="n">
        <v>0.84</v>
      </c>
    </row>
    <row r="29" customFormat="false" ht="15" hidden="false" customHeight="false" outlineLevel="0" collapsed="false">
      <c r="A29" s="6" t="s">
        <v>916</v>
      </c>
      <c r="B29" s="6" t="s">
        <v>86</v>
      </c>
      <c r="C29" s="6" t="s">
        <v>917</v>
      </c>
      <c r="D29" s="8" t="n">
        <v>34912</v>
      </c>
      <c r="E29" s="11" t="n">
        <v>0</v>
      </c>
      <c r="F29" s="8" t="n">
        <v>34912</v>
      </c>
      <c r="G29" s="9" t="n">
        <v>0.2</v>
      </c>
      <c r="H29" s="8" t="n">
        <v>27929</v>
      </c>
      <c r="I29" s="6" t="n">
        <v>215</v>
      </c>
      <c r="J29" s="8" t="n">
        <v>7506080</v>
      </c>
      <c r="K29" s="11" t="n">
        <v>0.66</v>
      </c>
    </row>
    <row r="30" customFormat="false" ht="15" hidden="false" customHeight="false" outlineLevel="0" collapsed="false">
      <c r="A30" s="6" t="s">
        <v>918</v>
      </c>
      <c r="B30" s="6" t="s">
        <v>87</v>
      </c>
      <c r="C30" s="6" t="s">
        <v>919</v>
      </c>
      <c r="D30" s="8" t="n">
        <v>28018</v>
      </c>
      <c r="E30" s="11" t="n">
        <v>0.1</v>
      </c>
      <c r="F30" s="8" t="n">
        <v>25216</v>
      </c>
      <c r="G30" s="9" t="n">
        <v>0.2</v>
      </c>
      <c r="H30" s="8" t="n">
        <v>20172</v>
      </c>
      <c r="I30" s="6" t="n">
        <v>63</v>
      </c>
      <c r="J30" s="8" t="n">
        <v>1588608</v>
      </c>
      <c r="K30" s="11" t="n">
        <v>0.66</v>
      </c>
    </row>
    <row r="31" customFormat="false" ht="15" hidden="false" customHeight="false" outlineLevel="0" collapsed="false">
      <c r="A31" s="6" t="s">
        <v>920</v>
      </c>
      <c r="B31" s="6" t="s">
        <v>88</v>
      </c>
      <c r="C31" s="6" t="s">
        <v>921</v>
      </c>
      <c r="D31" s="8" t="n">
        <v>40136</v>
      </c>
      <c r="E31" s="11" t="n">
        <v>0.1</v>
      </c>
      <c r="F31" s="8" t="n">
        <v>36122</v>
      </c>
      <c r="G31" s="9" t="n">
        <v>0.2</v>
      </c>
      <c r="H31" s="8" t="n">
        <v>28897</v>
      </c>
      <c r="I31" s="6" t="n">
        <v>103</v>
      </c>
      <c r="J31" s="8" t="n">
        <v>3720566</v>
      </c>
      <c r="K31" s="11" t="n">
        <v>0.75</v>
      </c>
    </row>
    <row r="32" customFormat="false" ht="15" hidden="false" customHeight="false" outlineLevel="0" collapsed="false">
      <c r="A32" s="6" t="s">
        <v>922</v>
      </c>
      <c r="B32" s="6" t="s">
        <v>89</v>
      </c>
      <c r="C32" s="6" t="s">
        <v>923</v>
      </c>
      <c r="D32" s="8" t="n">
        <v>9981</v>
      </c>
      <c r="E32" s="11" t="n">
        <v>0.1</v>
      </c>
      <c r="F32" s="8" t="n">
        <v>8982</v>
      </c>
      <c r="G32" s="9" t="n">
        <v>0.2</v>
      </c>
      <c r="H32" s="8" t="n">
        <v>7185</v>
      </c>
      <c r="I32" s="6" t="n">
        <v>20</v>
      </c>
      <c r="J32" s="8" t="n">
        <v>179640</v>
      </c>
      <c r="K32" s="11" t="n">
        <v>0.8</v>
      </c>
    </row>
    <row r="33" customFormat="false" ht="15" hidden="false" customHeight="false" outlineLevel="0" collapsed="false">
      <c r="A33" s="6" t="s">
        <v>924</v>
      </c>
      <c r="B33" s="6" t="s">
        <v>90</v>
      </c>
      <c r="C33" s="6" t="s">
        <v>925</v>
      </c>
      <c r="D33" s="8" t="n">
        <v>9508</v>
      </c>
      <c r="E33" s="11" t="n">
        <v>0</v>
      </c>
      <c r="F33" s="8" t="n">
        <v>9508</v>
      </c>
      <c r="G33" s="9" t="n">
        <v>0.2</v>
      </c>
      <c r="H33" s="8" t="n">
        <v>7606</v>
      </c>
      <c r="I33" s="6" t="n">
        <v>71</v>
      </c>
      <c r="J33" s="8" t="n">
        <v>675068</v>
      </c>
      <c r="K33" s="11" t="n">
        <v>0.63</v>
      </c>
    </row>
    <row r="34" customFormat="false" ht="15" hidden="false" customHeight="false" outlineLevel="0" collapsed="false">
      <c r="A34" s="6" t="s">
        <v>926</v>
      </c>
      <c r="B34" s="6" t="s">
        <v>37</v>
      </c>
      <c r="C34" s="6" t="s">
        <v>927</v>
      </c>
      <c r="D34" s="8" t="n">
        <v>35774</v>
      </c>
      <c r="E34" s="11" t="n">
        <v>0.05</v>
      </c>
      <c r="F34" s="8" t="n">
        <v>33985</v>
      </c>
      <c r="G34" s="9" t="n">
        <v>0.2</v>
      </c>
      <c r="H34" s="8" t="n">
        <v>27188</v>
      </c>
      <c r="I34" s="6" t="n">
        <v>51</v>
      </c>
      <c r="J34" s="8" t="n">
        <v>1733235</v>
      </c>
      <c r="K34" s="11" t="n">
        <v>0.8</v>
      </c>
    </row>
    <row r="35" customFormat="false" ht="15" hidden="false" customHeight="false" outlineLevel="0" collapsed="false">
      <c r="A35" s="6" t="s">
        <v>928</v>
      </c>
      <c r="B35" s="6" t="s">
        <v>38</v>
      </c>
      <c r="C35" s="6" t="s">
        <v>929</v>
      </c>
      <c r="D35" s="8" t="n">
        <v>53667</v>
      </c>
      <c r="E35" s="11" t="n">
        <v>0.1</v>
      </c>
      <c r="F35" s="8" t="n">
        <v>48300</v>
      </c>
      <c r="G35" s="9" t="n">
        <v>0.2</v>
      </c>
      <c r="H35" s="8" t="n">
        <v>38640</v>
      </c>
      <c r="I35" s="6" t="n">
        <v>70</v>
      </c>
      <c r="J35" s="8" t="n">
        <v>3381000</v>
      </c>
      <c r="K35" s="11" t="n">
        <v>0.69</v>
      </c>
    </row>
    <row r="36" customFormat="false" ht="15" hidden="false" customHeight="false" outlineLevel="0" collapsed="false">
      <c r="A36" s="6" t="s">
        <v>930</v>
      </c>
      <c r="B36" s="6" t="s">
        <v>39</v>
      </c>
      <c r="C36" s="6" t="s">
        <v>931</v>
      </c>
      <c r="D36" s="8" t="n">
        <v>41882</v>
      </c>
      <c r="E36" s="11" t="n">
        <v>0.05</v>
      </c>
      <c r="F36" s="8" t="n">
        <v>39787</v>
      </c>
      <c r="G36" s="9" t="n">
        <v>0.2</v>
      </c>
      <c r="H36" s="8" t="n">
        <v>31829</v>
      </c>
      <c r="I36" s="6" t="n">
        <v>122</v>
      </c>
      <c r="J36" s="8" t="n">
        <v>4854014</v>
      </c>
      <c r="K36" s="11" t="n">
        <v>0.87</v>
      </c>
    </row>
    <row r="37" customFormat="false" ht="15" hidden="false" customHeight="false" outlineLevel="0" collapsed="false">
      <c r="A37" s="6" t="s">
        <v>932</v>
      </c>
      <c r="B37" s="6" t="s">
        <v>40</v>
      </c>
      <c r="C37" s="6" t="s">
        <v>933</v>
      </c>
      <c r="D37" s="8" t="n">
        <v>51009</v>
      </c>
      <c r="E37" s="11" t="n">
        <v>0.1</v>
      </c>
      <c r="F37" s="8" t="n">
        <v>45908</v>
      </c>
      <c r="G37" s="9" t="n">
        <v>0.2</v>
      </c>
      <c r="H37" s="8" t="n">
        <v>36726</v>
      </c>
      <c r="I37" s="6" t="n">
        <v>54</v>
      </c>
      <c r="J37" s="8" t="n">
        <v>2479032</v>
      </c>
      <c r="K37" s="11" t="n">
        <v>0.69</v>
      </c>
    </row>
    <row r="38" customFormat="false" ht="15" hidden="false" customHeight="false" outlineLevel="0" collapsed="false">
      <c r="A38" s="6" t="s">
        <v>934</v>
      </c>
      <c r="B38" s="6" t="s">
        <v>41</v>
      </c>
      <c r="C38" s="6" t="s">
        <v>935</v>
      </c>
      <c r="D38" s="8" t="n">
        <v>48182</v>
      </c>
      <c r="E38" s="11" t="n">
        <v>0.05</v>
      </c>
      <c r="F38" s="8" t="n">
        <v>45772</v>
      </c>
      <c r="G38" s="9" t="n">
        <v>0.2</v>
      </c>
      <c r="H38" s="8" t="n">
        <v>36617</v>
      </c>
      <c r="I38" s="6" t="n">
        <v>76</v>
      </c>
      <c r="J38" s="8" t="n">
        <v>3478672</v>
      </c>
      <c r="K38" s="11" t="n">
        <v>0.72</v>
      </c>
    </row>
    <row r="39" customFormat="false" ht="15" hidden="false" customHeight="false" outlineLevel="0" collapsed="false">
      <c r="A39" s="6" t="s">
        <v>936</v>
      </c>
      <c r="B39" s="6" t="s">
        <v>42</v>
      </c>
      <c r="C39" s="6" t="s">
        <v>937</v>
      </c>
      <c r="D39" s="8" t="n">
        <v>76892</v>
      </c>
      <c r="E39" s="11" t="n">
        <v>0.05</v>
      </c>
      <c r="F39" s="8" t="n">
        <v>73047</v>
      </c>
      <c r="G39" s="9" t="n">
        <v>0.2</v>
      </c>
      <c r="H39" s="8" t="n">
        <v>58437</v>
      </c>
      <c r="I39" s="6" t="n">
        <v>102</v>
      </c>
      <c r="J39" s="8" t="n">
        <v>7450794</v>
      </c>
      <c r="K39" s="11" t="n">
        <v>0.91</v>
      </c>
    </row>
    <row r="40" customFormat="false" ht="15" hidden="false" customHeight="false" outlineLevel="0" collapsed="false">
      <c r="A40" s="6" t="s">
        <v>938</v>
      </c>
      <c r="B40" s="6" t="s">
        <v>43</v>
      </c>
      <c r="C40" s="6" t="s">
        <v>939</v>
      </c>
      <c r="D40" s="8" t="n">
        <v>27403</v>
      </c>
      <c r="E40" s="11" t="n">
        <v>0</v>
      </c>
      <c r="F40" s="8" t="n">
        <v>27403</v>
      </c>
      <c r="G40" s="9" t="n">
        <v>0.2</v>
      </c>
      <c r="H40" s="8" t="n">
        <v>21922</v>
      </c>
      <c r="I40" s="6" t="n">
        <v>130</v>
      </c>
      <c r="J40" s="8" t="n">
        <v>3562390</v>
      </c>
      <c r="K40" s="11" t="n">
        <v>0.66</v>
      </c>
    </row>
    <row r="41" customFormat="false" ht="15" hidden="false" customHeight="false" outlineLevel="0" collapsed="false">
      <c r="A41" s="6" t="s">
        <v>940</v>
      </c>
      <c r="B41" s="6" t="s">
        <v>44</v>
      </c>
      <c r="C41" s="6" t="s">
        <v>941</v>
      </c>
      <c r="D41" s="8" t="n">
        <v>101288</v>
      </c>
      <c r="E41" s="11" t="n">
        <v>0</v>
      </c>
      <c r="F41" s="8" t="n">
        <v>101288</v>
      </c>
      <c r="G41" s="9" t="n">
        <v>0.2</v>
      </c>
      <c r="H41" s="8" t="n">
        <v>81030</v>
      </c>
      <c r="I41" s="6" t="n">
        <v>66</v>
      </c>
      <c r="J41" s="8" t="n">
        <v>6685008</v>
      </c>
      <c r="K41" s="11" t="n">
        <v>0.95</v>
      </c>
    </row>
    <row r="42" customFormat="false" ht="15" hidden="false" customHeight="false" outlineLevel="0" collapsed="false">
      <c r="A42" s="6" t="s">
        <v>942</v>
      </c>
      <c r="B42" s="6" t="s">
        <v>45</v>
      </c>
      <c r="C42" s="6" t="s">
        <v>943</v>
      </c>
      <c r="D42" s="8" t="n">
        <v>37538</v>
      </c>
      <c r="E42" s="11" t="n">
        <v>0.1</v>
      </c>
      <c r="F42" s="8" t="n">
        <v>33784</v>
      </c>
      <c r="G42" s="9" t="n">
        <v>0.2</v>
      </c>
      <c r="H42" s="8" t="n">
        <v>27027</v>
      </c>
      <c r="I42" s="6" t="n">
        <v>161</v>
      </c>
      <c r="J42" s="8" t="n">
        <v>5439224</v>
      </c>
      <c r="K42" s="11" t="n">
        <v>0.62</v>
      </c>
    </row>
    <row r="43" customFormat="false" ht="15" hidden="false" customHeight="false" outlineLevel="0" collapsed="false">
      <c r="A43" s="6" t="s">
        <v>944</v>
      </c>
      <c r="B43" s="6" t="s">
        <v>46</v>
      </c>
      <c r="C43" s="6" t="s">
        <v>945</v>
      </c>
      <c r="D43" s="8" t="n">
        <v>30990</v>
      </c>
      <c r="E43" s="11" t="n">
        <v>0</v>
      </c>
      <c r="F43" s="8" t="n">
        <v>30990</v>
      </c>
      <c r="G43" s="9" t="n">
        <v>0.2</v>
      </c>
      <c r="H43" s="8" t="n">
        <v>24792</v>
      </c>
      <c r="I43" s="6" t="n">
        <v>18</v>
      </c>
      <c r="J43" s="8" t="n">
        <v>557820</v>
      </c>
      <c r="K43" s="11" t="n">
        <v>0.63</v>
      </c>
    </row>
    <row r="44" customFormat="false" ht="15" hidden="false" customHeight="false" outlineLevel="0" collapsed="false">
      <c r="A44" s="6" t="s">
        <v>946</v>
      </c>
      <c r="B44" s="6" t="s">
        <v>47</v>
      </c>
      <c r="C44" s="6" t="s">
        <v>947</v>
      </c>
      <c r="D44" s="8" t="n">
        <v>57866</v>
      </c>
      <c r="E44" s="11" t="n">
        <v>0.05</v>
      </c>
      <c r="F44" s="8" t="n">
        <v>54972</v>
      </c>
      <c r="G44" s="9" t="n">
        <v>0.2</v>
      </c>
      <c r="H44" s="8" t="n">
        <v>43977</v>
      </c>
      <c r="I44" s="6" t="n">
        <v>216</v>
      </c>
      <c r="J44" s="8" t="n">
        <v>11873952</v>
      </c>
      <c r="K44" s="11" t="n">
        <v>0.71</v>
      </c>
    </row>
    <row r="45" customFormat="false" ht="15" hidden="false" customHeight="false" outlineLevel="0" collapsed="false">
      <c r="A45" s="6" t="s">
        <v>948</v>
      </c>
      <c r="B45" s="6" t="s">
        <v>48</v>
      </c>
      <c r="C45" s="6" t="s">
        <v>949</v>
      </c>
      <c r="D45" s="8" t="n">
        <v>58899</v>
      </c>
      <c r="E45" s="11" t="n">
        <v>0</v>
      </c>
      <c r="F45" s="8" t="n">
        <v>58899</v>
      </c>
      <c r="G45" s="9" t="n">
        <v>0.2</v>
      </c>
      <c r="H45" s="8" t="n">
        <v>47119</v>
      </c>
      <c r="I45" s="6" t="n">
        <v>120</v>
      </c>
      <c r="J45" s="8" t="n">
        <v>7067880</v>
      </c>
      <c r="K45" s="11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10" min="8" style="0" width="8"/>
    <col collapsed="false" customWidth="true" hidden="false" outlineLevel="0" max="11" min="11" style="0" width="6"/>
  </cols>
  <sheetData>
    <row r="1" customFormat="false" ht="15" hidden="false" customHeight="false" outlineLevel="0" collapsed="false">
      <c r="A1" s="5" t="s">
        <v>0</v>
      </c>
      <c r="B1" s="5" t="s">
        <v>389</v>
      </c>
      <c r="C1" s="5" t="s">
        <v>390</v>
      </c>
      <c r="D1" s="5" t="s">
        <v>950</v>
      </c>
      <c r="E1" s="5" t="s">
        <v>392</v>
      </c>
      <c r="F1" s="10" t="s">
        <v>395</v>
      </c>
      <c r="G1" s="10" t="s">
        <v>396</v>
      </c>
      <c r="H1" s="5" t="s">
        <v>951</v>
      </c>
      <c r="I1" s="5" t="s">
        <v>952</v>
      </c>
      <c r="J1" s="5" t="s">
        <v>397</v>
      </c>
      <c r="K1" s="5" t="s">
        <v>398</v>
      </c>
    </row>
    <row r="2" customFormat="false" ht="15" hidden="false" customHeight="false" outlineLevel="0" collapsed="false">
      <c r="A2" s="6" t="s">
        <v>49</v>
      </c>
      <c r="B2" s="7" t="s">
        <v>953</v>
      </c>
      <c r="C2" s="8" t="n">
        <v>8500</v>
      </c>
      <c r="D2" s="11" t="n">
        <v>0.15</v>
      </c>
      <c r="E2" s="8" t="n">
        <v>7225</v>
      </c>
      <c r="F2" s="6" t="n">
        <v>26</v>
      </c>
      <c r="G2" s="8" t="n">
        <v>187850</v>
      </c>
      <c r="H2" s="6" t="n">
        <v>0</v>
      </c>
      <c r="I2" s="9" t="n">
        <v>0</v>
      </c>
      <c r="J2" s="6" t="n">
        <v>45</v>
      </c>
      <c r="K2" s="6" t="n">
        <v>4.6</v>
      </c>
    </row>
    <row r="3" customFormat="false" ht="15" hidden="false" customHeight="false" outlineLevel="0" collapsed="false">
      <c r="A3" s="6" t="s">
        <v>50</v>
      </c>
      <c r="B3" s="7" t="s">
        <v>954</v>
      </c>
      <c r="C3" s="8" t="n">
        <v>9200</v>
      </c>
      <c r="D3" s="11" t="n">
        <v>0.05</v>
      </c>
      <c r="E3" s="8" t="n">
        <v>8740</v>
      </c>
      <c r="F3" s="6" t="n">
        <v>118</v>
      </c>
      <c r="G3" s="8" t="n">
        <v>1031320</v>
      </c>
      <c r="H3" s="6" t="n">
        <v>2</v>
      </c>
      <c r="I3" s="9" t="n">
        <v>0.017</v>
      </c>
      <c r="J3" s="6" t="n">
        <v>39</v>
      </c>
      <c r="K3" s="6" t="n">
        <v>5</v>
      </c>
    </row>
    <row r="4" customFormat="false" ht="15" hidden="false" customHeight="false" outlineLevel="0" collapsed="false">
      <c r="A4" s="6" t="s">
        <v>51</v>
      </c>
      <c r="B4" s="7" t="s">
        <v>955</v>
      </c>
      <c r="C4" s="8" t="n">
        <v>9500</v>
      </c>
      <c r="D4" s="11" t="n">
        <v>0.15</v>
      </c>
      <c r="E4" s="8" t="n">
        <v>8075</v>
      </c>
      <c r="F4" s="6" t="n">
        <v>25</v>
      </c>
      <c r="G4" s="8" t="n">
        <v>201875</v>
      </c>
      <c r="H4" s="6" t="n">
        <v>1</v>
      </c>
      <c r="I4" s="9" t="n">
        <v>0.04</v>
      </c>
      <c r="J4" s="6" t="n">
        <v>25</v>
      </c>
      <c r="K4" s="6" t="n">
        <v>4.8</v>
      </c>
    </row>
    <row r="5" customFormat="false" ht="15" hidden="false" customHeight="false" outlineLevel="0" collapsed="false">
      <c r="A5" s="6" t="s">
        <v>52</v>
      </c>
      <c r="B5" s="7" t="s">
        <v>956</v>
      </c>
      <c r="C5" s="8" t="n">
        <v>9000</v>
      </c>
      <c r="D5" s="11" t="n">
        <v>0.1</v>
      </c>
      <c r="E5" s="8" t="n">
        <v>8100</v>
      </c>
      <c r="F5" s="6" t="n">
        <v>105</v>
      </c>
      <c r="G5" s="8" t="n">
        <v>850500</v>
      </c>
      <c r="H5" s="6" t="n">
        <v>2</v>
      </c>
      <c r="I5" s="9" t="n">
        <v>0.019</v>
      </c>
      <c r="J5" s="6" t="n">
        <v>38</v>
      </c>
      <c r="K5" s="6" t="n">
        <v>4.3</v>
      </c>
    </row>
    <row r="6" customFormat="false" ht="15" hidden="false" customHeight="false" outlineLevel="0" collapsed="false">
      <c r="A6" s="6" t="s">
        <v>53</v>
      </c>
      <c r="B6" s="7" t="s">
        <v>957</v>
      </c>
      <c r="C6" s="8" t="n">
        <v>9800</v>
      </c>
      <c r="D6" s="11" t="n">
        <v>0.12</v>
      </c>
      <c r="E6" s="8" t="n">
        <v>8624</v>
      </c>
      <c r="F6" s="6" t="n">
        <v>12</v>
      </c>
      <c r="G6" s="8" t="n">
        <v>103488</v>
      </c>
      <c r="H6" s="6" t="n">
        <v>0</v>
      </c>
      <c r="I6" s="9" t="n">
        <v>0</v>
      </c>
      <c r="J6" s="6" t="n">
        <v>30</v>
      </c>
      <c r="K6" s="6" t="n">
        <v>4.5</v>
      </c>
    </row>
    <row r="7" customFormat="false" ht="15" hidden="false" customHeight="false" outlineLevel="0" collapsed="false">
      <c r="A7" s="6" t="s">
        <v>54</v>
      </c>
      <c r="B7" s="7" t="s">
        <v>958</v>
      </c>
      <c r="C7" s="8" t="n">
        <v>8800</v>
      </c>
      <c r="D7" s="11" t="n">
        <v>0.12</v>
      </c>
      <c r="E7" s="8" t="n">
        <v>7744</v>
      </c>
      <c r="F7" s="6" t="n">
        <v>103</v>
      </c>
      <c r="G7" s="8" t="n">
        <v>797632</v>
      </c>
      <c r="H7" s="6" t="n">
        <v>0</v>
      </c>
      <c r="I7" s="9" t="n">
        <v>0</v>
      </c>
      <c r="J7" s="6" t="n">
        <v>59</v>
      </c>
      <c r="K7" s="6" t="n">
        <v>4.6</v>
      </c>
    </row>
    <row r="8" customFormat="false" ht="15" hidden="false" customHeight="false" outlineLevel="0" collapsed="false">
      <c r="A8" s="6" t="s">
        <v>55</v>
      </c>
      <c r="B8" s="7" t="s">
        <v>959</v>
      </c>
      <c r="C8" s="8" t="n">
        <v>9300</v>
      </c>
      <c r="D8" s="11" t="n">
        <v>0.12</v>
      </c>
      <c r="E8" s="8" t="n">
        <v>8184</v>
      </c>
      <c r="F8" s="6" t="n">
        <v>117</v>
      </c>
      <c r="G8" s="8" t="n">
        <v>957528</v>
      </c>
      <c r="H8" s="6" t="n">
        <v>2</v>
      </c>
      <c r="I8" s="9" t="n">
        <v>0.017</v>
      </c>
      <c r="J8" s="6" t="n">
        <v>6</v>
      </c>
      <c r="K8" s="6" t="n">
        <v>4.7</v>
      </c>
    </row>
    <row r="9" customFormat="false" ht="15" hidden="false" customHeight="false" outlineLevel="0" collapsed="false">
      <c r="A9" s="6" t="s">
        <v>56</v>
      </c>
      <c r="B9" s="7" t="s">
        <v>960</v>
      </c>
      <c r="C9" s="8" t="n">
        <v>9500</v>
      </c>
      <c r="D9" s="11" t="n">
        <v>0.12</v>
      </c>
      <c r="E9" s="8" t="n">
        <v>8360</v>
      </c>
      <c r="F9" s="6" t="n">
        <v>57</v>
      </c>
      <c r="G9" s="8" t="n">
        <v>476520</v>
      </c>
      <c r="H9" s="6" t="n">
        <v>0</v>
      </c>
      <c r="I9" s="9" t="n">
        <v>0</v>
      </c>
      <c r="J9" s="6" t="n">
        <v>42</v>
      </c>
      <c r="K9" s="6" t="n">
        <v>4.9</v>
      </c>
    </row>
    <row r="10" customFormat="false" ht="15" hidden="false" customHeight="false" outlineLevel="0" collapsed="false">
      <c r="A10" s="6" t="s">
        <v>57</v>
      </c>
      <c r="B10" s="7" t="s">
        <v>961</v>
      </c>
      <c r="C10" s="8" t="n">
        <v>10000</v>
      </c>
      <c r="D10" s="11" t="n">
        <v>0.1</v>
      </c>
      <c r="E10" s="8" t="n">
        <v>9000</v>
      </c>
      <c r="F10" s="6" t="n">
        <v>65</v>
      </c>
      <c r="G10" s="8" t="n">
        <v>585000</v>
      </c>
      <c r="H10" s="6" t="n">
        <v>3</v>
      </c>
      <c r="I10" s="9" t="n">
        <v>0.046</v>
      </c>
      <c r="J10" s="6" t="n">
        <v>15</v>
      </c>
      <c r="K10" s="6" t="n">
        <v>4.3</v>
      </c>
    </row>
    <row r="11" customFormat="false" ht="15" hidden="false" customHeight="false" outlineLevel="0" collapsed="false">
      <c r="A11" s="6" t="s">
        <v>58</v>
      </c>
      <c r="B11" s="7" t="s">
        <v>962</v>
      </c>
      <c r="C11" s="8" t="n">
        <v>18000</v>
      </c>
      <c r="D11" s="11" t="n">
        <v>0.1</v>
      </c>
      <c r="E11" s="8" t="n">
        <v>16200</v>
      </c>
      <c r="F11" s="6" t="n">
        <v>78</v>
      </c>
      <c r="G11" s="8" t="n">
        <v>1263600</v>
      </c>
      <c r="H11" s="6" t="n">
        <v>1</v>
      </c>
      <c r="I11" s="9" t="n">
        <v>0.013</v>
      </c>
      <c r="J11" s="6" t="n">
        <v>41</v>
      </c>
      <c r="K11" s="6" t="n">
        <v>4.8</v>
      </c>
    </row>
    <row r="12" customFormat="false" ht="15" hidden="false" customHeight="false" outlineLevel="0" collapsed="false">
      <c r="A12" s="6" t="s">
        <v>59</v>
      </c>
      <c r="B12" s="7" t="s">
        <v>963</v>
      </c>
      <c r="C12" s="8" t="n">
        <v>19500</v>
      </c>
      <c r="D12" s="11" t="n">
        <v>0.12</v>
      </c>
      <c r="E12" s="8" t="n">
        <v>17160</v>
      </c>
      <c r="F12" s="6" t="n">
        <v>80</v>
      </c>
      <c r="G12" s="8" t="n">
        <v>1372800</v>
      </c>
      <c r="H12" s="6" t="n">
        <v>1</v>
      </c>
      <c r="I12" s="9" t="n">
        <v>0.013</v>
      </c>
      <c r="J12" s="6" t="n">
        <v>68</v>
      </c>
      <c r="K12" s="6" t="n">
        <v>4.7</v>
      </c>
    </row>
    <row r="13" customFormat="false" ht="15" hidden="false" customHeight="false" outlineLevel="0" collapsed="false">
      <c r="A13" s="6" t="s">
        <v>60</v>
      </c>
      <c r="B13" s="7" t="s">
        <v>964</v>
      </c>
      <c r="C13" s="8" t="n">
        <v>20000</v>
      </c>
      <c r="D13" s="11" t="n">
        <v>0.12</v>
      </c>
      <c r="E13" s="8" t="n">
        <v>17600</v>
      </c>
      <c r="F13" s="6" t="n">
        <v>31</v>
      </c>
      <c r="G13" s="8" t="n">
        <v>545600</v>
      </c>
      <c r="H13" s="6" t="n">
        <v>0</v>
      </c>
      <c r="I13" s="9" t="n">
        <v>0</v>
      </c>
      <c r="J13" s="6" t="n">
        <v>56</v>
      </c>
      <c r="K13" s="6" t="n">
        <v>4.6</v>
      </c>
    </row>
    <row r="14" customFormat="false" ht="15" hidden="false" customHeight="false" outlineLevel="0" collapsed="false">
      <c r="A14" s="6" t="s">
        <v>61</v>
      </c>
      <c r="B14" s="7" t="s">
        <v>965</v>
      </c>
      <c r="C14" s="8" t="n">
        <v>12000</v>
      </c>
      <c r="D14" s="11" t="n">
        <v>0.15</v>
      </c>
      <c r="E14" s="8" t="n">
        <v>10200</v>
      </c>
      <c r="F14" s="6" t="n">
        <v>138</v>
      </c>
      <c r="G14" s="8" t="n">
        <v>1407600</v>
      </c>
      <c r="H14" s="6" t="n">
        <v>0</v>
      </c>
      <c r="I14" s="9" t="n">
        <v>0</v>
      </c>
      <c r="J14" s="6" t="n">
        <v>68</v>
      </c>
      <c r="K14" s="6" t="n">
        <v>4.4</v>
      </c>
    </row>
    <row r="15" customFormat="false" ht="15" hidden="false" customHeight="false" outlineLevel="0" collapsed="false">
      <c r="A15" s="6" t="s">
        <v>62</v>
      </c>
      <c r="B15" s="7" t="s">
        <v>966</v>
      </c>
      <c r="C15" s="8" t="n">
        <v>22000</v>
      </c>
      <c r="D15" s="11" t="n">
        <v>0.12</v>
      </c>
      <c r="E15" s="8" t="n">
        <v>19360</v>
      </c>
      <c r="F15" s="6" t="n">
        <v>96</v>
      </c>
      <c r="G15" s="8" t="n">
        <v>1858560</v>
      </c>
      <c r="H15" s="6" t="n">
        <v>5</v>
      </c>
      <c r="I15" s="9" t="n">
        <v>0.052</v>
      </c>
      <c r="J15" s="6" t="n">
        <v>71</v>
      </c>
      <c r="K15" s="6" t="n">
        <v>4.7</v>
      </c>
    </row>
    <row r="16" customFormat="false" ht="15" hidden="false" customHeight="false" outlineLevel="0" collapsed="false">
      <c r="A16" s="6" t="s">
        <v>63</v>
      </c>
      <c r="B16" s="7" t="s">
        <v>967</v>
      </c>
      <c r="C16" s="8" t="n">
        <v>5200</v>
      </c>
      <c r="D16" s="11" t="n">
        <v>0.05</v>
      </c>
      <c r="E16" s="8" t="n">
        <v>4940</v>
      </c>
      <c r="F16" s="6" t="n">
        <v>59</v>
      </c>
      <c r="G16" s="8" t="n">
        <v>291460</v>
      </c>
      <c r="H16" s="6" t="n">
        <v>1</v>
      </c>
      <c r="I16" s="9" t="n">
        <v>0.017</v>
      </c>
      <c r="J16" s="6" t="n">
        <v>37</v>
      </c>
      <c r="K16" s="6" t="n">
        <v>4.3</v>
      </c>
    </row>
    <row r="17" customFormat="false" ht="15" hidden="false" customHeight="false" outlineLevel="0" collapsed="false">
      <c r="A17" s="6" t="s">
        <v>64</v>
      </c>
      <c r="B17" s="7" t="s">
        <v>968</v>
      </c>
      <c r="C17" s="8" t="n">
        <v>5500</v>
      </c>
      <c r="D17" s="11" t="n">
        <v>0.1</v>
      </c>
      <c r="E17" s="8" t="n">
        <v>4950</v>
      </c>
      <c r="F17" s="6" t="n">
        <v>127</v>
      </c>
      <c r="G17" s="8" t="n">
        <v>628650</v>
      </c>
      <c r="H17" s="6" t="n">
        <v>3</v>
      </c>
      <c r="I17" s="9" t="n">
        <v>0.024</v>
      </c>
      <c r="J17" s="6" t="n">
        <v>47</v>
      </c>
      <c r="K17" s="6" t="n">
        <v>4.3</v>
      </c>
    </row>
    <row r="18" customFormat="false" ht="15" hidden="false" customHeight="false" outlineLevel="0" collapsed="false">
      <c r="A18" s="6" t="s">
        <v>91</v>
      </c>
      <c r="B18" s="7" t="s">
        <v>969</v>
      </c>
      <c r="C18" s="8" t="n">
        <v>18000</v>
      </c>
      <c r="D18" s="11" t="n">
        <v>0.1</v>
      </c>
      <c r="E18" s="8" t="n">
        <v>16200</v>
      </c>
      <c r="F18" s="6" t="n">
        <v>77</v>
      </c>
      <c r="G18" s="8" t="n">
        <v>1247400</v>
      </c>
      <c r="H18" s="6" t="n">
        <v>0</v>
      </c>
      <c r="I18" s="9" t="n">
        <v>0</v>
      </c>
      <c r="J18" s="6" t="n">
        <v>29</v>
      </c>
      <c r="K18" s="6" t="n">
        <v>4.2</v>
      </c>
    </row>
    <row r="19" customFormat="false" ht="15" hidden="false" customHeight="false" outlineLevel="0" collapsed="false">
      <c r="A19" s="6" t="s">
        <v>92</v>
      </c>
      <c r="B19" s="7" t="s">
        <v>970</v>
      </c>
      <c r="C19" s="8" t="n">
        <v>17500</v>
      </c>
      <c r="D19" s="11" t="n">
        <v>0.1</v>
      </c>
      <c r="E19" s="8" t="n">
        <v>15750</v>
      </c>
      <c r="F19" s="6" t="n">
        <v>92</v>
      </c>
      <c r="G19" s="8" t="n">
        <v>1449000</v>
      </c>
      <c r="H19" s="6" t="n">
        <v>3</v>
      </c>
      <c r="I19" s="9" t="n">
        <v>0.033</v>
      </c>
      <c r="J19" s="6" t="n">
        <v>11</v>
      </c>
      <c r="K19" s="6" t="n">
        <v>4.4</v>
      </c>
    </row>
    <row r="20" customFormat="false" ht="15" hidden="false" customHeight="false" outlineLevel="0" collapsed="false">
      <c r="A20" s="6" t="s">
        <v>93</v>
      </c>
      <c r="B20" s="7" t="s">
        <v>971</v>
      </c>
      <c r="C20" s="8" t="n">
        <v>18500</v>
      </c>
      <c r="D20" s="11" t="n">
        <v>0.1</v>
      </c>
      <c r="E20" s="8" t="n">
        <v>16650</v>
      </c>
      <c r="F20" s="6" t="n">
        <v>16</v>
      </c>
      <c r="G20" s="8" t="n">
        <v>266400</v>
      </c>
      <c r="H20" s="6" t="n">
        <v>1</v>
      </c>
      <c r="I20" s="9" t="n">
        <v>0.062</v>
      </c>
      <c r="J20" s="6" t="n">
        <v>21</v>
      </c>
      <c r="K20" s="6" t="n">
        <v>4.5</v>
      </c>
    </row>
    <row r="21" customFormat="false" ht="15" hidden="false" customHeight="false" outlineLevel="0" collapsed="false">
      <c r="A21" s="6" t="s">
        <v>94</v>
      </c>
      <c r="B21" s="7" t="s">
        <v>972</v>
      </c>
      <c r="C21" s="8" t="n">
        <v>18000</v>
      </c>
      <c r="D21" s="11" t="n">
        <v>0.1</v>
      </c>
      <c r="E21" s="8" t="n">
        <v>16200</v>
      </c>
      <c r="F21" s="6" t="n">
        <v>141</v>
      </c>
      <c r="G21" s="8" t="n">
        <v>2284200</v>
      </c>
      <c r="H21" s="6" t="n">
        <v>1</v>
      </c>
      <c r="I21" s="9" t="n">
        <v>0.007</v>
      </c>
      <c r="J21" s="6" t="n">
        <v>78</v>
      </c>
      <c r="K21" s="6" t="n">
        <v>4.2</v>
      </c>
    </row>
    <row r="22" customFormat="false" ht="15" hidden="false" customHeight="false" outlineLevel="0" collapsed="false">
      <c r="A22" s="6" t="s">
        <v>95</v>
      </c>
      <c r="B22" s="7" t="s">
        <v>973</v>
      </c>
      <c r="C22" s="8" t="n">
        <v>17000</v>
      </c>
      <c r="D22" s="11" t="n">
        <v>0.15</v>
      </c>
      <c r="E22" s="8" t="n">
        <v>14450</v>
      </c>
      <c r="F22" s="6" t="n">
        <v>19</v>
      </c>
      <c r="G22" s="8" t="n">
        <v>274550</v>
      </c>
      <c r="H22" s="6" t="n">
        <v>1</v>
      </c>
      <c r="I22" s="9" t="n">
        <v>0.053</v>
      </c>
      <c r="J22" s="6" t="n">
        <v>30</v>
      </c>
      <c r="K22" s="6" t="n">
        <v>4.6</v>
      </c>
    </row>
    <row r="23" customFormat="false" ht="15" hidden="false" customHeight="false" outlineLevel="0" collapsed="false">
      <c r="A23" s="6" t="s">
        <v>96</v>
      </c>
      <c r="B23" s="7" t="s">
        <v>974</v>
      </c>
      <c r="C23" s="8" t="n">
        <v>19000</v>
      </c>
      <c r="D23" s="11" t="n">
        <v>0.05</v>
      </c>
      <c r="E23" s="8" t="n">
        <v>18050</v>
      </c>
      <c r="F23" s="6" t="n">
        <v>127</v>
      </c>
      <c r="G23" s="8" t="n">
        <v>2292350</v>
      </c>
      <c r="H23" s="6" t="n">
        <v>0</v>
      </c>
      <c r="I23" s="9" t="n">
        <v>0</v>
      </c>
      <c r="J23" s="6" t="n">
        <v>39</v>
      </c>
      <c r="K23" s="6" t="n">
        <v>4.4</v>
      </c>
    </row>
    <row r="24" customFormat="false" ht="15" hidden="false" customHeight="false" outlineLevel="0" collapsed="false">
      <c r="A24" s="6" t="s">
        <v>97</v>
      </c>
      <c r="B24" s="7" t="s">
        <v>975</v>
      </c>
      <c r="C24" s="8" t="n">
        <v>9800</v>
      </c>
      <c r="D24" s="11" t="n">
        <v>0.08</v>
      </c>
      <c r="E24" s="8" t="n">
        <v>9016</v>
      </c>
      <c r="F24" s="6" t="n">
        <v>12</v>
      </c>
      <c r="G24" s="8" t="n">
        <v>108192</v>
      </c>
      <c r="H24" s="6" t="n">
        <v>0</v>
      </c>
      <c r="I24" s="9" t="n">
        <v>0</v>
      </c>
      <c r="J24" s="6" t="n">
        <v>46</v>
      </c>
      <c r="K24" s="6" t="n">
        <v>4.9</v>
      </c>
    </row>
    <row r="25" customFormat="false" ht="15" hidden="false" customHeight="false" outlineLevel="0" collapsed="false">
      <c r="A25" s="6" t="s">
        <v>98</v>
      </c>
      <c r="B25" s="7" t="s">
        <v>976</v>
      </c>
      <c r="C25" s="8" t="n">
        <v>9500</v>
      </c>
      <c r="D25" s="11" t="n">
        <v>0.15</v>
      </c>
      <c r="E25" s="8" t="n">
        <v>8075</v>
      </c>
      <c r="F25" s="6" t="n">
        <v>111</v>
      </c>
      <c r="G25" s="8" t="n">
        <v>896325</v>
      </c>
      <c r="H25" s="6" t="n">
        <v>0</v>
      </c>
      <c r="I25" s="9" t="n">
        <v>0</v>
      </c>
      <c r="J25" s="6" t="n">
        <v>32</v>
      </c>
      <c r="K25" s="6" t="n">
        <v>4.7</v>
      </c>
    </row>
    <row r="26" customFormat="false" ht="15" hidden="false" customHeight="false" outlineLevel="0" collapsed="false">
      <c r="A26" s="6" t="s">
        <v>99</v>
      </c>
      <c r="B26" s="7" t="s">
        <v>977</v>
      </c>
      <c r="C26" s="8" t="n">
        <v>10000</v>
      </c>
      <c r="D26" s="11" t="n">
        <v>0.12</v>
      </c>
      <c r="E26" s="8" t="n">
        <v>8800</v>
      </c>
      <c r="F26" s="6" t="n">
        <v>59</v>
      </c>
      <c r="G26" s="8" t="n">
        <v>519200</v>
      </c>
      <c r="H26" s="6" t="n">
        <v>0</v>
      </c>
      <c r="I26" s="9" t="n">
        <v>0</v>
      </c>
      <c r="J26" s="6" t="n">
        <v>27</v>
      </c>
      <c r="K26" s="6" t="n">
        <v>4.3</v>
      </c>
    </row>
    <row r="27" customFormat="false" ht="15" hidden="false" customHeight="false" outlineLevel="0" collapsed="false">
      <c r="A27" s="6" t="s">
        <v>100</v>
      </c>
      <c r="B27" s="7" t="s">
        <v>978</v>
      </c>
      <c r="C27" s="8" t="n">
        <v>9800</v>
      </c>
      <c r="D27" s="11" t="n">
        <v>0.12</v>
      </c>
      <c r="E27" s="8" t="n">
        <v>8624</v>
      </c>
      <c r="F27" s="6" t="n">
        <v>123</v>
      </c>
      <c r="G27" s="8" t="n">
        <v>1060752</v>
      </c>
      <c r="H27" s="6" t="n">
        <v>3</v>
      </c>
      <c r="I27" s="9" t="n">
        <v>0.024</v>
      </c>
      <c r="J27" s="6" t="n">
        <v>22</v>
      </c>
      <c r="K27" s="6" t="n">
        <v>4.7</v>
      </c>
    </row>
    <row r="28" customFormat="false" ht="15" hidden="false" customHeight="false" outlineLevel="0" collapsed="false">
      <c r="A28" s="6" t="s">
        <v>101</v>
      </c>
      <c r="B28" s="7" t="s">
        <v>979</v>
      </c>
      <c r="C28" s="8" t="n">
        <v>2000</v>
      </c>
      <c r="D28" s="11" t="n">
        <v>0.15</v>
      </c>
      <c r="E28" s="8" t="n">
        <v>1700</v>
      </c>
      <c r="F28" s="6" t="n">
        <v>35</v>
      </c>
      <c r="G28" s="8" t="n">
        <v>59500</v>
      </c>
      <c r="H28" s="6" t="n">
        <v>0</v>
      </c>
      <c r="I28" s="9" t="n">
        <v>0</v>
      </c>
      <c r="J28" s="6" t="n">
        <v>68</v>
      </c>
      <c r="K28" s="6" t="n">
        <v>4.5</v>
      </c>
    </row>
    <row r="29" customFormat="false" ht="15" hidden="false" customHeight="false" outlineLevel="0" collapsed="false">
      <c r="A29" s="6" t="s">
        <v>102</v>
      </c>
      <c r="B29" s="7" t="s">
        <v>980</v>
      </c>
      <c r="C29" s="8" t="n">
        <v>1900</v>
      </c>
      <c r="D29" s="11" t="n">
        <v>0.12</v>
      </c>
      <c r="E29" s="8" t="n">
        <v>1672</v>
      </c>
      <c r="F29" s="6" t="n">
        <v>115</v>
      </c>
      <c r="G29" s="8" t="n">
        <v>192280</v>
      </c>
      <c r="H29" s="6" t="n">
        <v>1</v>
      </c>
      <c r="I29" s="9" t="n">
        <v>0.009</v>
      </c>
      <c r="J29" s="6" t="n">
        <v>7</v>
      </c>
      <c r="K29" s="6" t="n">
        <v>4.4</v>
      </c>
    </row>
    <row r="30" customFormat="false" ht="15" hidden="false" customHeight="false" outlineLevel="0" collapsed="false">
      <c r="A30" s="6" t="s">
        <v>103</v>
      </c>
      <c r="B30" s="7" t="s">
        <v>981</v>
      </c>
      <c r="C30" s="8" t="n">
        <v>28000</v>
      </c>
      <c r="D30" s="11" t="n">
        <v>0.08</v>
      </c>
      <c r="E30" s="8" t="n">
        <v>25760</v>
      </c>
      <c r="F30" s="6" t="n">
        <v>146</v>
      </c>
      <c r="G30" s="8" t="n">
        <v>3760960</v>
      </c>
      <c r="H30" s="6" t="n">
        <v>2</v>
      </c>
      <c r="I30" s="9" t="n">
        <v>0.014</v>
      </c>
      <c r="J30" s="6" t="n">
        <v>81</v>
      </c>
      <c r="K30" s="6" t="n">
        <v>4.9</v>
      </c>
    </row>
    <row r="31" customFormat="false" ht="15" hidden="false" customHeight="false" outlineLevel="0" collapsed="false">
      <c r="A31" s="6" t="s">
        <v>104</v>
      </c>
      <c r="B31" s="7" t="s">
        <v>982</v>
      </c>
      <c r="C31" s="8" t="n">
        <v>39000</v>
      </c>
      <c r="D31" s="11" t="n">
        <v>0.15</v>
      </c>
      <c r="E31" s="8" t="n">
        <v>33150</v>
      </c>
      <c r="F31" s="6" t="n">
        <v>80</v>
      </c>
      <c r="G31" s="8" t="n">
        <v>2652000</v>
      </c>
      <c r="H31" s="6" t="n">
        <v>3</v>
      </c>
      <c r="I31" s="9" t="n">
        <v>0.037</v>
      </c>
      <c r="J31" s="6" t="n">
        <v>16</v>
      </c>
      <c r="K31" s="6" t="n">
        <v>4.8</v>
      </c>
    </row>
    <row r="32" customFormat="false" ht="15" hidden="false" customHeight="false" outlineLevel="0" collapsed="false">
      <c r="A32" s="6" t="s">
        <v>105</v>
      </c>
      <c r="B32" s="7" t="s">
        <v>983</v>
      </c>
      <c r="C32" s="8" t="n">
        <v>15000</v>
      </c>
      <c r="D32" s="11" t="n">
        <v>0.08</v>
      </c>
      <c r="E32" s="8" t="n">
        <v>13800</v>
      </c>
      <c r="F32" s="6" t="n">
        <v>90</v>
      </c>
      <c r="G32" s="8" t="n">
        <v>1242000</v>
      </c>
      <c r="H32" s="6" t="n">
        <v>4</v>
      </c>
      <c r="I32" s="9" t="n">
        <v>0.044</v>
      </c>
      <c r="J32" s="6" t="n">
        <v>19</v>
      </c>
      <c r="K32" s="6" t="n">
        <v>4.2</v>
      </c>
    </row>
    <row r="33" customFormat="false" ht="15" hidden="false" customHeight="false" outlineLevel="0" collapsed="false">
      <c r="A33" s="6" t="s">
        <v>106</v>
      </c>
      <c r="B33" s="7" t="s">
        <v>984</v>
      </c>
      <c r="C33" s="8" t="n">
        <v>14500</v>
      </c>
      <c r="D33" s="11" t="n">
        <v>0.1</v>
      </c>
      <c r="E33" s="8" t="n">
        <v>13050</v>
      </c>
      <c r="F33" s="6" t="n">
        <v>128</v>
      </c>
      <c r="G33" s="8" t="n">
        <v>1670400</v>
      </c>
      <c r="H33" s="6" t="n">
        <v>3</v>
      </c>
      <c r="I33" s="9" t="n">
        <v>0.023</v>
      </c>
      <c r="J33" s="6" t="n">
        <v>61</v>
      </c>
      <c r="K33" s="6" t="n">
        <v>5</v>
      </c>
    </row>
    <row r="34" customFormat="false" ht="15" hidden="false" customHeight="false" outlineLevel="0" collapsed="false">
      <c r="A34" s="6" t="s">
        <v>107</v>
      </c>
      <c r="B34" s="7" t="s">
        <v>985</v>
      </c>
      <c r="C34" s="8" t="n">
        <v>22000</v>
      </c>
      <c r="D34" s="11" t="n">
        <v>0.15</v>
      </c>
      <c r="E34" s="8" t="n">
        <v>18700</v>
      </c>
      <c r="F34" s="6" t="n">
        <v>103</v>
      </c>
      <c r="G34" s="8" t="n">
        <v>1926100</v>
      </c>
      <c r="H34" s="6" t="n">
        <v>1</v>
      </c>
      <c r="I34" s="9" t="n">
        <v>0.01</v>
      </c>
      <c r="J34" s="6" t="n">
        <v>38</v>
      </c>
      <c r="K34" s="6" t="n">
        <v>4.6</v>
      </c>
    </row>
    <row r="35" customFormat="false" ht="15" hidden="false" customHeight="false" outlineLevel="0" collapsed="false">
      <c r="A35" s="6" t="s">
        <v>108</v>
      </c>
      <c r="B35" s="7" t="s">
        <v>986</v>
      </c>
      <c r="C35" s="8" t="n">
        <v>22000</v>
      </c>
      <c r="D35" s="11" t="n">
        <v>0.05</v>
      </c>
      <c r="E35" s="8" t="n">
        <v>20900</v>
      </c>
      <c r="F35" s="6" t="n">
        <v>139</v>
      </c>
      <c r="G35" s="8" t="n">
        <v>2905100</v>
      </c>
      <c r="H35" s="6" t="n">
        <v>4</v>
      </c>
      <c r="I35" s="9" t="n">
        <v>0.029</v>
      </c>
      <c r="J35" s="6" t="n">
        <v>17</v>
      </c>
      <c r="K35" s="6" t="n">
        <v>4.9</v>
      </c>
    </row>
    <row r="36" customFormat="false" ht="15" hidden="false" customHeight="false" outlineLevel="0" collapsed="false">
      <c r="A36" s="6" t="s">
        <v>109</v>
      </c>
      <c r="B36" s="7" t="s">
        <v>987</v>
      </c>
      <c r="C36" s="8" t="n">
        <v>25000</v>
      </c>
      <c r="D36" s="11" t="n">
        <v>0.15</v>
      </c>
      <c r="E36" s="8" t="n">
        <v>21250</v>
      </c>
      <c r="F36" s="6" t="n">
        <v>141</v>
      </c>
      <c r="G36" s="8" t="n">
        <v>2996250</v>
      </c>
      <c r="H36" s="6" t="n">
        <v>3</v>
      </c>
      <c r="I36" s="9" t="n">
        <v>0.021</v>
      </c>
      <c r="J36" s="6" t="n">
        <v>1</v>
      </c>
      <c r="K36" s="6" t="n">
        <v>4.9</v>
      </c>
    </row>
    <row r="37" customFormat="false" ht="15" hidden="false" customHeight="false" outlineLevel="0" collapsed="false">
      <c r="A37" s="6" t="s">
        <v>110</v>
      </c>
      <c r="B37" s="7" t="s">
        <v>988</v>
      </c>
      <c r="C37" s="8" t="n">
        <v>21000</v>
      </c>
      <c r="D37" s="11" t="n">
        <v>0.12</v>
      </c>
      <c r="E37" s="8" t="n">
        <v>18480</v>
      </c>
      <c r="F37" s="6" t="n">
        <v>86</v>
      </c>
      <c r="G37" s="8" t="n">
        <v>1589280</v>
      </c>
      <c r="H37" s="6" t="n">
        <v>1</v>
      </c>
      <c r="I37" s="9" t="n">
        <v>0.012</v>
      </c>
      <c r="J37" s="6" t="n">
        <v>29</v>
      </c>
      <c r="K37" s="6" t="n">
        <v>5</v>
      </c>
    </row>
    <row r="38" customFormat="false" ht="15" hidden="false" customHeight="false" outlineLevel="0" collapsed="false">
      <c r="A38" s="6" t="s">
        <v>111</v>
      </c>
      <c r="B38" s="7" t="s">
        <v>989</v>
      </c>
      <c r="C38" s="8" t="n">
        <v>20000</v>
      </c>
      <c r="D38" s="11" t="n">
        <v>0.05</v>
      </c>
      <c r="E38" s="8" t="n">
        <v>19000</v>
      </c>
      <c r="F38" s="6" t="n">
        <v>111</v>
      </c>
      <c r="G38" s="8" t="n">
        <v>2109000</v>
      </c>
      <c r="H38" s="6" t="n">
        <v>2</v>
      </c>
      <c r="I38" s="9" t="n">
        <v>0.018</v>
      </c>
      <c r="J38" s="6" t="n">
        <v>73</v>
      </c>
      <c r="K38" s="6" t="n">
        <v>4.4</v>
      </c>
    </row>
    <row r="39" customFormat="false" ht="15" hidden="false" customHeight="false" outlineLevel="0" collapsed="false">
      <c r="A39" s="6" t="s">
        <v>112</v>
      </c>
      <c r="B39" s="7" t="s">
        <v>990</v>
      </c>
      <c r="C39" s="8" t="n">
        <v>26000</v>
      </c>
      <c r="D39" s="11" t="n">
        <v>0.15</v>
      </c>
      <c r="E39" s="8" t="n">
        <v>22100</v>
      </c>
      <c r="F39" s="6" t="n">
        <v>46</v>
      </c>
      <c r="G39" s="8" t="n">
        <v>1016600</v>
      </c>
      <c r="H39" s="6" t="n">
        <v>0</v>
      </c>
      <c r="I39" s="9" t="n">
        <v>0</v>
      </c>
      <c r="J39" s="6" t="n">
        <v>26</v>
      </c>
      <c r="K39" s="6" t="n">
        <v>4.5</v>
      </c>
    </row>
    <row r="40" customFormat="false" ht="15" hidden="false" customHeight="false" outlineLevel="0" collapsed="false">
      <c r="A40" s="6" t="s">
        <v>113</v>
      </c>
      <c r="B40" s="7" t="s">
        <v>991</v>
      </c>
      <c r="C40" s="8" t="n">
        <v>38000</v>
      </c>
      <c r="D40" s="11" t="n">
        <v>0.05</v>
      </c>
      <c r="E40" s="8" t="n">
        <v>36100</v>
      </c>
      <c r="F40" s="6" t="n">
        <v>87</v>
      </c>
      <c r="G40" s="8" t="n">
        <v>3140700</v>
      </c>
      <c r="H40" s="6" t="n">
        <v>0</v>
      </c>
      <c r="I40" s="9" t="n">
        <v>0</v>
      </c>
      <c r="J40" s="6" t="n">
        <v>14</v>
      </c>
      <c r="K40" s="6" t="n">
        <v>4.5</v>
      </c>
    </row>
    <row r="41" customFormat="false" ht="15" hidden="false" customHeight="false" outlineLevel="0" collapsed="false">
      <c r="A41" s="6" t="s">
        <v>114</v>
      </c>
      <c r="B41" s="7" t="s">
        <v>992</v>
      </c>
      <c r="C41" s="8" t="n">
        <v>38000</v>
      </c>
      <c r="D41" s="11" t="n">
        <v>0.15</v>
      </c>
      <c r="E41" s="8" t="n">
        <v>32300</v>
      </c>
      <c r="F41" s="6" t="n">
        <v>138</v>
      </c>
      <c r="G41" s="8" t="n">
        <v>4457400</v>
      </c>
      <c r="H41" s="6" t="n">
        <v>0</v>
      </c>
      <c r="I41" s="9" t="n">
        <v>0</v>
      </c>
      <c r="J41" s="6" t="n">
        <v>43</v>
      </c>
      <c r="K41" s="6" t="n">
        <v>4.3</v>
      </c>
    </row>
    <row r="42" customFormat="false" ht="15" hidden="false" customHeight="false" outlineLevel="0" collapsed="false">
      <c r="A42" s="6" t="s">
        <v>115</v>
      </c>
      <c r="B42" s="7" t="s">
        <v>993</v>
      </c>
      <c r="C42" s="8" t="n">
        <v>43000</v>
      </c>
      <c r="D42" s="11" t="n">
        <v>0.15</v>
      </c>
      <c r="E42" s="8" t="n">
        <v>36550</v>
      </c>
      <c r="F42" s="6" t="n">
        <v>33</v>
      </c>
      <c r="G42" s="8" t="n">
        <v>1206150</v>
      </c>
      <c r="H42" s="6" t="n">
        <v>0</v>
      </c>
      <c r="I42" s="9" t="n">
        <v>0</v>
      </c>
      <c r="J42" s="6" t="n">
        <v>28</v>
      </c>
      <c r="K42" s="6" t="n">
        <v>4.7</v>
      </c>
    </row>
    <row r="43" customFormat="false" ht="15" hidden="false" customHeight="false" outlineLevel="0" collapsed="false">
      <c r="A43" s="6" t="s">
        <v>116</v>
      </c>
      <c r="B43" s="7" t="s">
        <v>994</v>
      </c>
      <c r="C43" s="8" t="n">
        <v>15000</v>
      </c>
      <c r="D43" s="11" t="n">
        <v>0.05</v>
      </c>
      <c r="E43" s="8" t="n">
        <v>14250</v>
      </c>
      <c r="F43" s="6" t="n">
        <v>52</v>
      </c>
      <c r="G43" s="8" t="n">
        <v>741000</v>
      </c>
      <c r="H43" s="6" t="n">
        <v>0</v>
      </c>
      <c r="I43" s="9" t="n">
        <v>0</v>
      </c>
      <c r="J43" s="6" t="n">
        <v>56</v>
      </c>
      <c r="K43" s="6" t="n">
        <v>4.4</v>
      </c>
    </row>
    <row r="44" customFormat="false" ht="15" hidden="false" customHeight="false" outlineLevel="0" collapsed="false">
      <c r="A44" s="6" t="s">
        <v>117</v>
      </c>
      <c r="B44" s="7" t="s">
        <v>995</v>
      </c>
      <c r="C44" s="8" t="n">
        <v>15000</v>
      </c>
      <c r="D44" s="11" t="n">
        <v>0.08</v>
      </c>
      <c r="E44" s="8" t="n">
        <v>13800</v>
      </c>
      <c r="F44" s="6" t="n">
        <v>87</v>
      </c>
      <c r="G44" s="8" t="n">
        <v>1200600</v>
      </c>
      <c r="H44" s="6" t="n">
        <v>0</v>
      </c>
      <c r="I44" s="9" t="n">
        <v>0</v>
      </c>
      <c r="J44" s="6" t="n">
        <v>39</v>
      </c>
      <c r="K44" s="6" t="n">
        <v>4.3</v>
      </c>
    </row>
    <row r="45" customFormat="false" ht="15" hidden="false" customHeight="false" outlineLevel="0" collapsed="false">
      <c r="A45" s="6" t="s">
        <v>118</v>
      </c>
      <c r="B45" s="7" t="s">
        <v>996</v>
      </c>
      <c r="C45" s="8" t="n">
        <v>17000</v>
      </c>
      <c r="D45" s="11" t="n">
        <v>0.08</v>
      </c>
      <c r="E45" s="8" t="n">
        <v>15640</v>
      </c>
      <c r="F45" s="6" t="n">
        <v>112</v>
      </c>
      <c r="G45" s="8" t="n">
        <v>1751680</v>
      </c>
      <c r="H45" s="6" t="n">
        <v>3</v>
      </c>
      <c r="I45" s="9" t="n">
        <v>0.027</v>
      </c>
      <c r="J45" s="6" t="n">
        <v>65</v>
      </c>
      <c r="K45" s="6" t="n">
        <v>4.8</v>
      </c>
    </row>
    <row r="46" customFormat="false" ht="15" hidden="false" customHeight="false" outlineLevel="0" collapsed="false">
      <c r="A46" s="6" t="s">
        <v>119</v>
      </c>
      <c r="B46" s="7" t="s">
        <v>997</v>
      </c>
      <c r="C46" s="8" t="n">
        <v>39000</v>
      </c>
      <c r="D46" s="11" t="n">
        <v>0.15</v>
      </c>
      <c r="E46" s="8" t="n">
        <v>33150</v>
      </c>
      <c r="F46" s="6" t="n">
        <v>51</v>
      </c>
      <c r="G46" s="8" t="n">
        <v>1690650</v>
      </c>
      <c r="H46" s="6" t="n">
        <v>1</v>
      </c>
      <c r="I46" s="9" t="n">
        <v>0.02</v>
      </c>
      <c r="J46" s="6" t="n">
        <v>39</v>
      </c>
      <c r="K46" s="6" t="n">
        <v>4.2</v>
      </c>
    </row>
    <row r="47" customFormat="false" ht="15" hidden="false" customHeight="false" outlineLevel="0" collapsed="false">
      <c r="A47" s="6" t="s">
        <v>120</v>
      </c>
      <c r="B47" s="7" t="s">
        <v>998</v>
      </c>
      <c r="C47" s="8" t="n">
        <v>39000</v>
      </c>
      <c r="D47" s="11" t="n">
        <v>0.08</v>
      </c>
      <c r="E47" s="8" t="n">
        <v>35880</v>
      </c>
      <c r="F47" s="6" t="n">
        <v>101</v>
      </c>
      <c r="G47" s="8" t="n">
        <v>3623880</v>
      </c>
      <c r="H47" s="6" t="n">
        <v>2</v>
      </c>
      <c r="I47" s="9" t="n">
        <v>0.02</v>
      </c>
      <c r="J47" s="6" t="n">
        <v>38</v>
      </c>
      <c r="K47" s="6" t="n">
        <v>4.6</v>
      </c>
    </row>
    <row r="48" customFormat="false" ht="15" hidden="false" customHeight="false" outlineLevel="0" collapsed="false">
      <c r="A48" s="6" t="s">
        <v>65</v>
      </c>
      <c r="B48" s="7" t="s">
        <v>999</v>
      </c>
      <c r="C48" s="8" t="n">
        <v>12000</v>
      </c>
      <c r="D48" s="11" t="n">
        <v>0.15</v>
      </c>
      <c r="E48" s="8" t="n">
        <v>10200</v>
      </c>
      <c r="F48" s="6" t="n">
        <v>91</v>
      </c>
      <c r="G48" s="8" t="n">
        <v>928200</v>
      </c>
      <c r="H48" s="6" t="n">
        <v>3</v>
      </c>
      <c r="I48" s="9" t="n">
        <v>0.033</v>
      </c>
      <c r="J48" s="6" t="n">
        <v>39</v>
      </c>
      <c r="K48" s="6" t="n">
        <v>5</v>
      </c>
    </row>
    <row r="49" customFormat="false" ht="15" hidden="false" customHeight="false" outlineLevel="0" collapsed="false">
      <c r="A49" s="6" t="s">
        <v>66</v>
      </c>
      <c r="B49" s="7" t="s">
        <v>1000</v>
      </c>
      <c r="C49" s="8" t="n">
        <v>11000</v>
      </c>
      <c r="D49" s="11" t="n">
        <v>0.15</v>
      </c>
      <c r="E49" s="8" t="n">
        <v>9350</v>
      </c>
      <c r="F49" s="6" t="n">
        <v>85</v>
      </c>
      <c r="G49" s="8" t="n">
        <v>794750</v>
      </c>
      <c r="H49" s="6" t="n">
        <v>1</v>
      </c>
      <c r="I49" s="9" t="n">
        <v>0.012</v>
      </c>
      <c r="J49" s="6" t="n">
        <v>45</v>
      </c>
      <c r="K49" s="6" t="n">
        <v>4.9</v>
      </c>
    </row>
    <row r="50" customFormat="false" ht="15" hidden="false" customHeight="false" outlineLevel="0" collapsed="false">
      <c r="A50" s="6" t="s">
        <v>67</v>
      </c>
      <c r="B50" s="7" t="s">
        <v>1001</v>
      </c>
      <c r="C50" s="8" t="n">
        <v>10000</v>
      </c>
      <c r="D50" s="11" t="n">
        <v>0.15</v>
      </c>
      <c r="E50" s="8" t="n">
        <v>8500</v>
      </c>
      <c r="F50" s="6" t="n">
        <v>96</v>
      </c>
      <c r="G50" s="8" t="n">
        <v>816000</v>
      </c>
      <c r="H50" s="6" t="n">
        <v>1</v>
      </c>
      <c r="I50" s="9" t="n">
        <v>0.01</v>
      </c>
      <c r="J50" s="6" t="n">
        <v>29</v>
      </c>
      <c r="K50" s="6" t="n">
        <v>4.3</v>
      </c>
    </row>
    <row r="51" customFormat="false" ht="15" hidden="false" customHeight="false" outlineLevel="0" collapsed="false">
      <c r="A51" s="6" t="s">
        <v>68</v>
      </c>
      <c r="B51" s="7" t="s">
        <v>1002</v>
      </c>
      <c r="C51" s="8" t="n">
        <v>11500</v>
      </c>
      <c r="D51" s="11" t="n">
        <v>0.12</v>
      </c>
      <c r="E51" s="8" t="n">
        <v>10120</v>
      </c>
      <c r="F51" s="6" t="n">
        <v>135</v>
      </c>
      <c r="G51" s="8" t="n">
        <v>1366200</v>
      </c>
      <c r="H51" s="6" t="n">
        <v>5</v>
      </c>
      <c r="I51" s="9" t="n">
        <v>0.037</v>
      </c>
      <c r="J51" s="6" t="n">
        <v>60</v>
      </c>
      <c r="K51" s="6" t="n">
        <v>4.5</v>
      </c>
    </row>
    <row r="52" customFormat="false" ht="15" hidden="false" customHeight="false" outlineLevel="0" collapsed="false">
      <c r="A52" s="6" t="s">
        <v>69</v>
      </c>
      <c r="B52" s="7" t="s">
        <v>1003</v>
      </c>
      <c r="C52" s="8" t="n">
        <v>14500</v>
      </c>
      <c r="D52" s="11" t="n">
        <v>0.08</v>
      </c>
      <c r="E52" s="8" t="n">
        <v>13340</v>
      </c>
      <c r="F52" s="6" t="n">
        <v>32</v>
      </c>
      <c r="G52" s="8" t="n">
        <v>426880</v>
      </c>
      <c r="H52" s="6" t="n">
        <v>1</v>
      </c>
      <c r="I52" s="9" t="n">
        <v>0.031</v>
      </c>
      <c r="J52" s="6" t="n">
        <v>34</v>
      </c>
      <c r="K52" s="6" t="n">
        <v>4.2</v>
      </c>
    </row>
    <row r="53" customFormat="false" ht="15" hidden="false" customHeight="false" outlineLevel="0" collapsed="false">
      <c r="A53" s="6" t="s">
        <v>70</v>
      </c>
      <c r="B53" s="7" t="s">
        <v>1004</v>
      </c>
      <c r="C53" s="8" t="n">
        <v>15000</v>
      </c>
      <c r="D53" s="11" t="n">
        <v>0.08</v>
      </c>
      <c r="E53" s="8" t="n">
        <v>13800</v>
      </c>
      <c r="F53" s="6" t="n">
        <v>104</v>
      </c>
      <c r="G53" s="8" t="n">
        <v>1435200</v>
      </c>
      <c r="H53" s="6" t="n">
        <v>0</v>
      </c>
      <c r="I53" s="9" t="n">
        <v>0</v>
      </c>
      <c r="J53" s="6" t="n">
        <v>26</v>
      </c>
      <c r="K53" s="6" t="n">
        <v>4.7</v>
      </c>
    </row>
    <row r="54" customFormat="false" ht="15" hidden="false" customHeight="false" outlineLevel="0" collapsed="false">
      <c r="A54" s="6" t="s">
        <v>71</v>
      </c>
      <c r="B54" s="7" t="s">
        <v>1005</v>
      </c>
      <c r="C54" s="8" t="n">
        <v>11000</v>
      </c>
      <c r="D54" s="11" t="n">
        <v>0.1</v>
      </c>
      <c r="E54" s="8" t="n">
        <v>9900</v>
      </c>
      <c r="F54" s="6" t="n">
        <v>104</v>
      </c>
      <c r="G54" s="8" t="n">
        <v>1029600</v>
      </c>
      <c r="H54" s="6" t="n">
        <v>0</v>
      </c>
      <c r="I54" s="9" t="n">
        <v>0</v>
      </c>
      <c r="J54" s="6" t="n">
        <v>63</v>
      </c>
      <c r="K54" s="6" t="n">
        <v>4.3</v>
      </c>
    </row>
    <row r="55" customFormat="false" ht="15" hidden="false" customHeight="false" outlineLevel="0" collapsed="false">
      <c r="A55" s="6" t="s">
        <v>72</v>
      </c>
      <c r="B55" s="7" t="s">
        <v>1006</v>
      </c>
      <c r="C55" s="8" t="n">
        <v>16000</v>
      </c>
      <c r="D55" s="11" t="n">
        <v>0.1</v>
      </c>
      <c r="E55" s="8" t="n">
        <v>14400</v>
      </c>
      <c r="F55" s="6" t="n">
        <v>86</v>
      </c>
      <c r="G55" s="8" t="n">
        <v>1238400</v>
      </c>
      <c r="H55" s="6" t="n">
        <v>1</v>
      </c>
      <c r="I55" s="9" t="n">
        <v>0.012</v>
      </c>
      <c r="J55" s="6" t="n">
        <v>45</v>
      </c>
      <c r="K55" s="6" t="n">
        <v>4.2</v>
      </c>
    </row>
    <row r="56" customFormat="false" ht="15" hidden="false" customHeight="false" outlineLevel="0" collapsed="false">
      <c r="A56" s="6" t="s">
        <v>73</v>
      </c>
      <c r="B56" s="7" t="s">
        <v>1007</v>
      </c>
      <c r="C56" s="8" t="n">
        <v>20000</v>
      </c>
      <c r="D56" s="11" t="n">
        <v>0.05</v>
      </c>
      <c r="E56" s="8" t="n">
        <v>19000</v>
      </c>
      <c r="F56" s="6" t="n">
        <v>103</v>
      </c>
      <c r="G56" s="8" t="n">
        <v>1957000</v>
      </c>
      <c r="H56" s="6" t="n">
        <v>4</v>
      </c>
      <c r="I56" s="9" t="n">
        <v>0.039</v>
      </c>
      <c r="J56" s="6" t="n">
        <v>79</v>
      </c>
      <c r="K56" s="6" t="n">
        <v>4.4</v>
      </c>
    </row>
    <row r="57" customFormat="false" ht="15" hidden="false" customHeight="false" outlineLevel="0" collapsed="false">
      <c r="A57" s="6" t="s">
        <v>74</v>
      </c>
      <c r="B57" s="7" t="s">
        <v>1008</v>
      </c>
      <c r="C57" s="8" t="n">
        <v>18000</v>
      </c>
      <c r="D57" s="11" t="n">
        <v>0.05</v>
      </c>
      <c r="E57" s="8" t="n">
        <v>17100</v>
      </c>
      <c r="F57" s="6" t="n">
        <v>13</v>
      </c>
      <c r="G57" s="8" t="n">
        <v>222300</v>
      </c>
      <c r="H57" s="6" t="n">
        <v>1</v>
      </c>
      <c r="I57" s="9" t="n">
        <v>0.077</v>
      </c>
      <c r="J57" s="6" t="n">
        <v>88</v>
      </c>
      <c r="K57" s="6" t="n">
        <v>4.8</v>
      </c>
    </row>
    <row r="58" customFormat="false" ht="15" hidden="false" customHeight="false" outlineLevel="0" collapsed="false">
      <c r="A58" s="6" t="s">
        <v>75</v>
      </c>
      <c r="B58" s="7" t="s">
        <v>1009</v>
      </c>
      <c r="C58" s="8" t="n">
        <v>16000</v>
      </c>
      <c r="D58" s="11" t="n">
        <v>0.08</v>
      </c>
      <c r="E58" s="8" t="n">
        <v>14720</v>
      </c>
      <c r="F58" s="6" t="n">
        <v>129</v>
      </c>
      <c r="G58" s="8" t="n">
        <v>1898880</v>
      </c>
      <c r="H58" s="6" t="n">
        <v>1</v>
      </c>
      <c r="I58" s="9" t="n">
        <v>0.008</v>
      </c>
      <c r="J58" s="6" t="n">
        <v>47</v>
      </c>
      <c r="K58" s="6" t="n">
        <v>4.9</v>
      </c>
    </row>
    <row r="59" customFormat="false" ht="15" hidden="false" customHeight="false" outlineLevel="0" collapsed="false">
      <c r="A59" s="6" t="s">
        <v>76</v>
      </c>
      <c r="B59" s="7" t="s">
        <v>1010</v>
      </c>
      <c r="C59" s="8" t="n">
        <v>25000</v>
      </c>
      <c r="D59" s="11" t="n">
        <v>0.1</v>
      </c>
      <c r="E59" s="8" t="n">
        <v>22500</v>
      </c>
      <c r="F59" s="6" t="n">
        <v>35</v>
      </c>
      <c r="G59" s="8" t="n">
        <v>787500</v>
      </c>
      <c r="H59" s="6" t="n">
        <v>1</v>
      </c>
      <c r="I59" s="9" t="n">
        <v>0.029</v>
      </c>
      <c r="J59" s="6" t="n">
        <v>66</v>
      </c>
      <c r="K59" s="6" t="n">
        <v>4.3</v>
      </c>
    </row>
    <row r="60" customFormat="false" ht="15" hidden="false" customHeight="false" outlineLevel="0" collapsed="false">
      <c r="A60" s="6" t="s">
        <v>13</v>
      </c>
      <c r="B60" s="7" t="s">
        <v>1011</v>
      </c>
      <c r="C60" s="8" t="n">
        <v>15000</v>
      </c>
      <c r="D60" s="11" t="n">
        <v>0.1</v>
      </c>
      <c r="E60" s="8" t="n">
        <v>13500</v>
      </c>
      <c r="F60" s="6" t="n">
        <v>150</v>
      </c>
      <c r="G60" s="8" t="n">
        <v>2025000</v>
      </c>
      <c r="H60" s="6" t="n">
        <v>8</v>
      </c>
      <c r="I60" s="9" t="n">
        <v>0.053</v>
      </c>
      <c r="J60" s="6" t="n">
        <v>22</v>
      </c>
      <c r="K60" s="6" t="n">
        <v>4.4</v>
      </c>
    </row>
    <row r="61" customFormat="false" ht="15" hidden="false" customHeight="false" outlineLevel="0" collapsed="false">
      <c r="A61" s="6" t="s">
        <v>14</v>
      </c>
      <c r="B61" s="7" t="s">
        <v>1012</v>
      </c>
      <c r="C61" s="8" t="n">
        <v>16000</v>
      </c>
      <c r="D61" s="11" t="n">
        <v>0.05</v>
      </c>
      <c r="E61" s="8" t="n">
        <v>15200</v>
      </c>
      <c r="F61" s="6" t="n">
        <v>65</v>
      </c>
      <c r="G61" s="8" t="n">
        <v>988000</v>
      </c>
      <c r="H61" s="6" t="n">
        <v>0</v>
      </c>
      <c r="I61" s="9" t="n">
        <v>0</v>
      </c>
      <c r="J61" s="6" t="n">
        <v>36</v>
      </c>
      <c r="K61" s="6" t="n">
        <v>4.7</v>
      </c>
    </row>
    <row r="62" customFormat="false" ht="15" hidden="false" customHeight="false" outlineLevel="0" collapsed="false">
      <c r="A62" s="6" t="s">
        <v>15</v>
      </c>
      <c r="B62" s="7" t="s">
        <v>1013</v>
      </c>
      <c r="C62" s="8" t="n">
        <v>18000</v>
      </c>
      <c r="D62" s="11" t="n">
        <v>0.08</v>
      </c>
      <c r="E62" s="8" t="n">
        <v>16560</v>
      </c>
      <c r="F62" s="6" t="n">
        <v>99</v>
      </c>
      <c r="G62" s="8" t="n">
        <v>1639440</v>
      </c>
      <c r="H62" s="6" t="n">
        <v>0</v>
      </c>
      <c r="I62" s="9" t="n">
        <v>0</v>
      </c>
      <c r="J62" s="6" t="n">
        <v>20</v>
      </c>
      <c r="K62" s="6" t="n">
        <v>4.6</v>
      </c>
    </row>
    <row r="63" customFormat="false" ht="15" hidden="false" customHeight="false" outlineLevel="0" collapsed="false">
      <c r="A63" s="6" t="s">
        <v>16</v>
      </c>
      <c r="B63" s="7" t="s">
        <v>1014</v>
      </c>
      <c r="C63" s="8" t="n">
        <v>18000</v>
      </c>
      <c r="D63" s="11" t="n">
        <v>0.15</v>
      </c>
      <c r="E63" s="8" t="n">
        <v>15300</v>
      </c>
      <c r="F63" s="6" t="n">
        <v>82</v>
      </c>
      <c r="G63" s="8" t="n">
        <v>1254600</v>
      </c>
      <c r="H63" s="6" t="n">
        <v>1</v>
      </c>
      <c r="I63" s="9" t="n">
        <v>0.012</v>
      </c>
      <c r="J63" s="6" t="n">
        <v>4</v>
      </c>
      <c r="K63" s="6" t="n">
        <v>5</v>
      </c>
    </row>
    <row r="64" customFormat="false" ht="15" hidden="false" customHeight="false" outlineLevel="0" collapsed="false">
      <c r="A64" s="6" t="s">
        <v>17</v>
      </c>
      <c r="B64" s="7" t="s">
        <v>1015</v>
      </c>
      <c r="C64" s="8" t="n">
        <v>27000</v>
      </c>
      <c r="D64" s="11" t="n">
        <v>0.12</v>
      </c>
      <c r="E64" s="8" t="n">
        <v>23760</v>
      </c>
      <c r="F64" s="6" t="n">
        <v>140</v>
      </c>
      <c r="G64" s="8" t="n">
        <v>3326400</v>
      </c>
      <c r="H64" s="6" t="n">
        <v>3</v>
      </c>
      <c r="I64" s="9" t="n">
        <v>0.021</v>
      </c>
      <c r="J64" s="6" t="n">
        <v>69</v>
      </c>
      <c r="K64" s="6" t="n">
        <v>4.4</v>
      </c>
    </row>
    <row r="65" customFormat="false" ht="15" hidden="false" customHeight="false" outlineLevel="0" collapsed="false">
      <c r="A65" s="6" t="s">
        <v>18</v>
      </c>
      <c r="B65" s="7" t="s">
        <v>1016</v>
      </c>
      <c r="C65" s="8" t="n">
        <v>29000</v>
      </c>
      <c r="D65" s="11" t="n">
        <v>0.1</v>
      </c>
      <c r="E65" s="8" t="n">
        <v>26100</v>
      </c>
      <c r="F65" s="6" t="n">
        <v>129</v>
      </c>
      <c r="G65" s="8" t="n">
        <v>3366900</v>
      </c>
      <c r="H65" s="6" t="n">
        <v>2</v>
      </c>
      <c r="I65" s="9" t="n">
        <v>0.016</v>
      </c>
      <c r="J65" s="6" t="n">
        <v>76</v>
      </c>
      <c r="K65" s="6" t="n">
        <v>4.5</v>
      </c>
    </row>
    <row r="66" customFormat="false" ht="15" hidden="false" customHeight="false" outlineLevel="0" collapsed="false">
      <c r="A66" s="6" t="s">
        <v>19</v>
      </c>
      <c r="B66" s="7" t="s">
        <v>1017</v>
      </c>
      <c r="C66" s="8" t="n">
        <v>32000</v>
      </c>
      <c r="D66" s="11" t="n">
        <v>0.12</v>
      </c>
      <c r="E66" s="8" t="n">
        <v>28160</v>
      </c>
      <c r="F66" s="6" t="n">
        <v>18</v>
      </c>
      <c r="G66" s="8" t="n">
        <v>506880</v>
      </c>
      <c r="H66" s="6" t="n">
        <v>1</v>
      </c>
      <c r="I66" s="9" t="n">
        <v>0.056</v>
      </c>
      <c r="J66" s="6" t="n">
        <v>37</v>
      </c>
      <c r="K66" s="6" t="n">
        <v>4.5</v>
      </c>
    </row>
    <row r="67" customFormat="false" ht="15" hidden="false" customHeight="false" outlineLevel="0" collapsed="false">
      <c r="A67" s="6" t="s">
        <v>20</v>
      </c>
      <c r="B67" s="7" t="s">
        <v>1018</v>
      </c>
      <c r="C67" s="8" t="n">
        <v>32000</v>
      </c>
      <c r="D67" s="11" t="n">
        <v>0.08</v>
      </c>
      <c r="E67" s="8" t="n">
        <v>29440</v>
      </c>
      <c r="F67" s="6" t="n">
        <v>52</v>
      </c>
      <c r="G67" s="8" t="n">
        <v>1530880</v>
      </c>
      <c r="H67" s="6" t="n">
        <v>1</v>
      </c>
      <c r="I67" s="9" t="n">
        <v>0.019</v>
      </c>
      <c r="J67" s="6" t="n">
        <v>38</v>
      </c>
      <c r="K67" s="6" t="n">
        <v>4.5</v>
      </c>
    </row>
    <row r="68" customFormat="false" ht="15" hidden="false" customHeight="false" outlineLevel="0" collapsed="false">
      <c r="A68" s="6" t="s">
        <v>21</v>
      </c>
      <c r="B68" s="7" t="s">
        <v>1019</v>
      </c>
      <c r="C68" s="8" t="n">
        <v>12000</v>
      </c>
      <c r="D68" s="11" t="n">
        <v>0.1</v>
      </c>
      <c r="E68" s="8" t="n">
        <v>10800</v>
      </c>
      <c r="F68" s="6" t="n">
        <v>142</v>
      </c>
      <c r="G68" s="8" t="n">
        <v>1533600</v>
      </c>
      <c r="H68" s="6" t="n">
        <v>2</v>
      </c>
      <c r="I68" s="9" t="n">
        <v>0.014</v>
      </c>
      <c r="J68" s="6" t="n">
        <v>63</v>
      </c>
      <c r="K68" s="6" t="n">
        <v>4.4</v>
      </c>
    </row>
    <row r="69" customFormat="false" ht="15" hidden="false" customHeight="false" outlineLevel="0" collapsed="false">
      <c r="A69" s="6" t="s">
        <v>22</v>
      </c>
      <c r="B69" s="7" t="s">
        <v>1020</v>
      </c>
      <c r="C69" s="8" t="n">
        <v>22000</v>
      </c>
      <c r="D69" s="11" t="n">
        <v>0.12</v>
      </c>
      <c r="E69" s="8" t="n">
        <v>19360</v>
      </c>
      <c r="F69" s="6" t="n">
        <v>62</v>
      </c>
      <c r="G69" s="8" t="n">
        <v>1200320</v>
      </c>
      <c r="H69" s="6" t="n">
        <v>0</v>
      </c>
      <c r="I69" s="9" t="n">
        <v>0</v>
      </c>
      <c r="J69" s="6" t="n">
        <v>44</v>
      </c>
      <c r="K69" s="6" t="n">
        <v>4.3</v>
      </c>
    </row>
    <row r="70" customFormat="false" ht="15" hidden="false" customHeight="false" outlineLevel="0" collapsed="false">
      <c r="A70" s="6" t="s">
        <v>23</v>
      </c>
      <c r="B70" s="7" t="s">
        <v>1021</v>
      </c>
      <c r="C70" s="8" t="n">
        <v>14000</v>
      </c>
      <c r="D70" s="11" t="n">
        <v>0.1</v>
      </c>
      <c r="E70" s="8" t="n">
        <v>12600</v>
      </c>
      <c r="F70" s="6" t="n">
        <v>84</v>
      </c>
      <c r="G70" s="8" t="n">
        <v>1058400</v>
      </c>
      <c r="H70" s="6" t="n">
        <v>0</v>
      </c>
      <c r="I70" s="9" t="n">
        <v>0</v>
      </c>
      <c r="J70" s="6" t="n">
        <v>90</v>
      </c>
      <c r="K70" s="6" t="n">
        <v>4.7</v>
      </c>
    </row>
    <row r="71" customFormat="false" ht="15" hidden="false" customHeight="false" outlineLevel="0" collapsed="false">
      <c r="A71" s="6" t="s">
        <v>24</v>
      </c>
      <c r="B71" s="7" t="s">
        <v>1022</v>
      </c>
      <c r="C71" s="8" t="n">
        <v>25000</v>
      </c>
      <c r="D71" s="11" t="n">
        <v>0.12</v>
      </c>
      <c r="E71" s="8" t="n">
        <v>22000</v>
      </c>
      <c r="F71" s="6" t="n">
        <v>16</v>
      </c>
      <c r="G71" s="8" t="n">
        <v>352000</v>
      </c>
      <c r="H71" s="6" t="n">
        <v>1</v>
      </c>
      <c r="I71" s="9" t="n">
        <v>0.062</v>
      </c>
      <c r="J71" s="6" t="n">
        <v>68</v>
      </c>
      <c r="K71" s="6" t="n">
        <v>4.9</v>
      </c>
    </row>
    <row r="72" customFormat="false" ht="15" hidden="false" customHeight="false" outlineLevel="0" collapsed="false">
      <c r="A72" s="6" t="s">
        <v>77</v>
      </c>
      <c r="B72" s="7" t="s">
        <v>1023</v>
      </c>
      <c r="C72" s="8" t="n">
        <v>18000</v>
      </c>
      <c r="D72" s="11" t="n">
        <v>0.1</v>
      </c>
      <c r="E72" s="8" t="n">
        <v>16200</v>
      </c>
      <c r="F72" s="6" t="n">
        <v>133</v>
      </c>
      <c r="G72" s="8" t="n">
        <v>2154600</v>
      </c>
      <c r="H72" s="6" t="n">
        <v>3</v>
      </c>
      <c r="I72" s="9" t="n">
        <v>0.023</v>
      </c>
      <c r="J72" s="6" t="n">
        <v>87</v>
      </c>
      <c r="K72" s="6" t="n">
        <v>4.3</v>
      </c>
    </row>
    <row r="73" customFormat="false" ht="15" hidden="false" customHeight="false" outlineLevel="0" collapsed="false">
      <c r="A73" s="6" t="s">
        <v>78</v>
      </c>
      <c r="B73" s="7" t="s">
        <v>1024</v>
      </c>
      <c r="C73" s="8" t="n">
        <v>15000</v>
      </c>
      <c r="D73" s="11" t="n">
        <v>0.15</v>
      </c>
      <c r="E73" s="8" t="n">
        <v>12750</v>
      </c>
      <c r="F73" s="6" t="n">
        <v>46</v>
      </c>
      <c r="G73" s="8" t="n">
        <v>586500</v>
      </c>
      <c r="H73" s="6" t="n">
        <v>1</v>
      </c>
      <c r="I73" s="9" t="n">
        <v>0.022</v>
      </c>
      <c r="J73" s="6" t="n">
        <v>9</v>
      </c>
      <c r="K73" s="6" t="n">
        <v>4.3</v>
      </c>
    </row>
    <row r="74" customFormat="false" ht="15" hidden="false" customHeight="false" outlineLevel="0" collapsed="false">
      <c r="A74" s="6" t="s">
        <v>79</v>
      </c>
      <c r="B74" s="7" t="s">
        <v>1025</v>
      </c>
      <c r="C74" s="8" t="n">
        <v>19000</v>
      </c>
      <c r="D74" s="11" t="n">
        <v>0.12</v>
      </c>
      <c r="E74" s="8" t="n">
        <v>16720</v>
      </c>
      <c r="F74" s="6" t="n">
        <v>64</v>
      </c>
      <c r="G74" s="8" t="n">
        <v>1070080</v>
      </c>
      <c r="H74" s="6" t="n">
        <v>1</v>
      </c>
      <c r="I74" s="9" t="n">
        <v>0.016</v>
      </c>
      <c r="J74" s="6" t="n">
        <v>79</v>
      </c>
      <c r="K74" s="6" t="n">
        <v>4.9</v>
      </c>
    </row>
    <row r="75" customFormat="false" ht="15" hidden="false" customHeight="false" outlineLevel="0" collapsed="false">
      <c r="A75" s="6" t="s">
        <v>80</v>
      </c>
      <c r="B75" s="7" t="s">
        <v>1026</v>
      </c>
      <c r="C75" s="8" t="n">
        <v>17000</v>
      </c>
      <c r="D75" s="11" t="n">
        <v>0.08</v>
      </c>
      <c r="E75" s="8" t="n">
        <v>15640</v>
      </c>
      <c r="F75" s="6" t="n">
        <v>137</v>
      </c>
      <c r="G75" s="8" t="n">
        <v>2142680</v>
      </c>
      <c r="H75" s="6" t="n">
        <v>4</v>
      </c>
      <c r="I75" s="9" t="n">
        <v>0.029</v>
      </c>
      <c r="J75" s="6" t="n">
        <v>34</v>
      </c>
      <c r="K75" s="6" t="n">
        <v>4.5</v>
      </c>
    </row>
    <row r="76" customFormat="false" ht="15" hidden="false" customHeight="false" outlineLevel="0" collapsed="false">
      <c r="A76" s="6" t="s">
        <v>81</v>
      </c>
      <c r="B76" s="7" t="s">
        <v>1027</v>
      </c>
      <c r="C76" s="8" t="n">
        <v>16000</v>
      </c>
      <c r="D76" s="11" t="n">
        <v>0.15</v>
      </c>
      <c r="E76" s="8" t="n">
        <v>13600</v>
      </c>
      <c r="F76" s="6" t="n">
        <v>27</v>
      </c>
      <c r="G76" s="8" t="n">
        <v>367200</v>
      </c>
      <c r="H76" s="6" t="n">
        <v>1</v>
      </c>
      <c r="I76" s="9" t="n">
        <v>0.037</v>
      </c>
      <c r="J76" s="6" t="n">
        <v>88</v>
      </c>
      <c r="K76" s="6" t="n">
        <v>4.3</v>
      </c>
    </row>
    <row r="77" customFormat="false" ht="15" hidden="false" customHeight="false" outlineLevel="0" collapsed="false">
      <c r="A77" s="6" t="s">
        <v>82</v>
      </c>
      <c r="B77" s="7" t="s">
        <v>1028</v>
      </c>
      <c r="C77" s="8" t="n">
        <v>22000</v>
      </c>
      <c r="D77" s="11" t="n">
        <v>0.1</v>
      </c>
      <c r="E77" s="8" t="n">
        <v>19800</v>
      </c>
      <c r="F77" s="6" t="n">
        <v>75</v>
      </c>
      <c r="G77" s="8" t="n">
        <v>1485000</v>
      </c>
      <c r="H77" s="6" t="n">
        <v>0</v>
      </c>
      <c r="I77" s="9" t="n">
        <v>0</v>
      </c>
      <c r="J77" s="6" t="n">
        <v>4</v>
      </c>
      <c r="K77" s="6" t="n">
        <v>4.7</v>
      </c>
    </row>
    <row r="78" customFormat="false" ht="15" hidden="false" customHeight="false" outlineLevel="0" collapsed="false">
      <c r="A78" s="6" t="s">
        <v>83</v>
      </c>
      <c r="B78" s="7" t="s">
        <v>1029</v>
      </c>
      <c r="C78" s="8" t="n">
        <v>32000</v>
      </c>
      <c r="D78" s="11" t="n">
        <v>0.15</v>
      </c>
      <c r="E78" s="8" t="n">
        <v>27200</v>
      </c>
      <c r="F78" s="6" t="n">
        <v>5</v>
      </c>
      <c r="G78" s="8" t="n">
        <v>136000</v>
      </c>
      <c r="H78" s="6" t="n">
        <v>0</v>
      </c>
      <c r="I78" s="9" t="n">
        <v>0</v>
      </c>
      <c r="J78" s="6" t="n">
        <v>9</v>
      </c>
      <c r="K78" s="6" t="n">
        <v>4.7</v>
      </c>
    </row>
    <row r="79" customFormat="false" ht="15" hidden="false" customHeight="false" outlineLevel="0" collapsed="false">
      <c r="A79" s="6" t="s">
        <v>84</v>
      </c>
      <c r="B79" s="7" t="s">
        <v>1030</v>
      </c>
      <c r="C79" s="8" t="n">
        <v>27000</v>
      </c>
      <c r="D79" s="11" t="n">
        <v>0.1</v>
      </c>
      <c r="E79" s="8" t="n">
        <v>24300</v>
      </c>
      <c r="F79" s="6" t="n">
        <v>150</v>
      </c>
      <c r="G79" s="8" t="n">
        <v>3645000</v>
      </c>
      <c r="H79" s="6" t="n">
        <v>3</v>
      </c>
      <c r="I79" s="9" t="n">
        <v>0.02</v>
      </c>
      <c r="J79" s="6" t="n">
        <v>64</v>
      </c>
      <c r="K79" s="6" t="n">
        <v>4.3</v>
      </c>
    </row>
    <row r="80" customFormat="false" ht="15" hidden="false" customHeight="false" outlineLevel="0" collapsed="false">
      <c r="A80" s="6" t="s">
        <v>85</v>
      </c>
      <c r="B80" s="7" t="s">
        <v>1031</v>
      </c>
      <c r="C80" s="8" t="n">
        <v>35000</v>
      </c>
      <c r="D80" s="11" t="n">
        <v>0.15</v>
      </c>
      <c r="E80" s="8" t="n">
        <v>29750</v>
      </c>
      <c r="F80" s="6" t="n">
        <v>47</v>
      </c>
      <c r="G80" s="8" t="n">
        <v>1398250</v>
      </c>
      <c r="H80" s="6" t="n">
        <v>1</v>
      </c>
      <c r="I80" s="9" t="n">
        <v>0.021</v>
      </c>
      <c r="J80" s="6" t="n">
        <v>47</v>
      </c>
      <c r="K80" s="6" t="n">
        <v>4.4</v>
      </c>
    </row>
    <row r="81" customFormat="false" ht="15" hidden="false" customHeight="false" outlineLevel="0" collapsed="false">
      <c r="A81" s="6" t="s">
        <v>86</v>
      </c>
      <c r="B81" s="7" t="s">
        <v>1032</v>
      </c>
      <c r="C81" s="8" t="n">
        <v>30000</v>
      </c>
      <c r="D81" s="11" t="n">
        <v>0.15</v>
      </c>
      <c r="E81" s="8" t="n">
        <v>25500</v>
      </c>
      <c r="F81" s="6" t="n">
        <v>95</v>
      </c>
      <c r="G81" s="8" t="n">
        <v>2422500</v>
      </c>
      <c r="H81" s="6" t="n">
        <v>3</v>
      </c>
      <c r="I81" s="9" t="n">
        <v>0.032</v>
      </c>
      <c r="J81" s="6" t="n">
        <v>30</v>
      </c>
      <c r="K81" s="6" t="n">
        <v>4.7</v>
      </c>
    </row>
    <row r="82" customFormat="false" ht="15" hidden="false" customHeight="false" outlineLevel="0" collapsed="false">
      <c r="A82" s="6" t="s">
        <v>87</v>
      </c>
      <c r="B82" s="7" t="s">
        <v>1033</v>
      </c>
      <c r="C82" s="8" t="n">
        <v>25000</v>
      </c>
      <c r="D82" s="11" t="n">
        <v>0.08</v>
      </c>
      <c r="E82" s="8" t="n">
        <v>23000</v>
      </c>
      <c r="F82" s="6" t="n">
        <v>7</v>
      </c>
      <c r="G82" s="8" t="n">
        <v>161000</v>
      </c>
      <c r="H82" s="6" t="n">
        <v>0</v>
      </c>
      <c r="I82" s="9" t="n">
        <v>0</v>
      </c>
      <c r="J82" s="6" t="n">
        <v>69</v>
      </c>
      <c r="K82" s="6" t="n">
        <v>4.6</v>
      </c>
    </row>
    <row r="83" customFormat="false" ht="15" hidden="false" customHeight="false" outlineLevel="0" collapsed="false">
      <c r="A83" s="6" t="s">
        <v>88</v>
      </c>
      <c r="B83" s="7" t="s">
        <v>1034</v>
      </c>
      <c r="C83" s="8" t="n">
        <v>38000</v>
      </c>
      <c r="D83" s="11" t="n">
        <v>0.08</v>
      </c>
      <c r="E83" s="8" t="n">
        <v>34960</v>
      </c>
      <c r="F83" s="6" t="n">
        <v>101</v>
      </c>
      <c r="G83" s="8" t="n">
        <v>3530960</v>
      </c>
      <c r="H83" s="6" t="n">
        <v>0</v>
      </c>
      <c r="I83" s="9" t="n">
        <v>0</v>
      </c>
      <c r="J83" s="6" t="n">
        <v>82</v>
      </c>
      <c r="K83" s="6" t="n">
        <v>4.8</v>
      </c>
    </row>
    <row r="84" customFormat="false" ht="15" hidden="false" customHeight="false" outlineLevel="0" collapsed="false">
      <c r="A84" s="6" t="s">
        <v>89</v>
      </c>
      <c r="B84" s="7" t="s">
        <v>1035</v>
      </c>
      <c r="C84" s="8" t="n">
        <v>9000</v>
      </c>
      <c r="D84" s="11" t="n">
        <v>0.08</v>
      </c>
      <c r="E84" s="8" t="n">
        <v>8280</v>
      </c>
      <c r="F84" s="6" t="n">
        <v>66</v>
      </c>
      <c r="G84" s="8" t="n">
        <v>546480</v>
      </c>
      <c r="H84" s="6" t="n">
        <v>2</v>
      </c>
      <c r="I84" s="9" t="n">
        <v>0.03</v>
      </c>
      <c r="J84" s="6" t="n">
        <v>12</v>
      </c>
      <c r="K84" s="6" t="n">
        <v>4.8</v>
      </c>
    </row>
    <row r="85" customFormat="false" ht="15" hidden="false" customHeight="false" outlineLevel="0" collapsed="false">
      <c r="A85" s="6" t="s">
        <v>90</v>
      </c>
      <c r="B85" s="7" t="s">
        <v>1036</v>
      </c>
      <c r="C85" s="8" t="n">
        <v>9000</v>
      </c>
      <c r="D85" s="11" t="n">
        <v>0.1</v>
      </c>
      <c r="E85" s="8" t="n">
        <v>8100</v>
      </c>
      <c r="F85" s="6" t="n">
        <v>110</v>
      </c>
      <c r="G85" s="8" t="n">
        <v>891000</v>
      </c>
      <c r="H85" s="6" t="n">
        <v>3</v>
      </c>
      <c r="I85" s="9" t="n">
        <v>0.027</v>
      </c>
      <c r="J85" s="6" t="n">
        <v>76</v>
      </c>
      <c r="K85" s="6" t="n">
        <v>4.7</v>
      </c>
    </row>
    <row r="86" customFormat="false" ht="15" hidden="false" customHeight="false" outlineLevel="0" collapsed="false">
      <c r="A86" s="6" t="s">
        <v>25</v>
      </c>
      <c r="B86" s="7" t="s">
        <v>1037</v>
      </c>
      <c r="C86" s="8" t="n">
        <v>7500</v>
      </c>
      <c r="D86" s="11" t="n">
        <v>0.05</v>
      </c>
      <c r="E86" s="8" t="n">
        <v>7125</v>
      </c>
      <c r="F86" s="6" t="n">
        <v>105</v>
      </c>
      <c r="G86" s="8" t="n">
        <v>748125</v>
      </c>
      <c r="H86" s="6" t="n">
        <v>4</v>
      </c>
      <c r="I86" s="9" t="n">
        <v>0.038</v>
      </c>
      <c r="J86" s="6" t="n">
        <v>25</v>
      </c>
      <c r="K86" s="6" t="n">
        <v>4.5</v>
      </c>
    </row>
    <row r="87" customFormat="false" ht="15" hidden="false" customHeight="false" outlineLevel="0" collapsed="false">
      <c r="A87" s="6" t="s">
        <v>26</v>
      </c>
      <c r="B87" s="7" t="s">
        <v>1038</v>
      </c>
      <c r="C87" s="8" t="n">
        <v>6500</v>
      </c>
      <c r="D87" s="11" t="n">
        <v>0.12</v>
      </c>
      <c r="E87" s="8" t="n">
        <v>5720</v>
      </c>
      <c r="F87" s="6" t="n">
        <v>149</v>
      </c>
      <c r="G87" s="8" t="n">
        <v>852280</v>
      </c>
      <c r="H87" s="6" t="n">
        <v>3</v>
      </c>
      <c r="I87" s="9" t="n">
        <v>0.02</v>
      </c>
      <c r="J87" s="6" t="n">
        <v>48</v>
      </c>
      <c r="K87" s="6" t="n">
        <v>4.3</v>
      </c>
    </row>
    <row r="88" customFormat="false" ht="15" hidden="false" customHeight="false" outlineLevel="0" collapsed="false">
      <c r="A88" s="6" t="s">
        <v>27</v>
      </c>
      <c r="B88" s="7" t="s">
        <v>1039</v>
      </c>
      <c r="C88" s="8" t="n">
        <v>8000</v>
      </c>
      <c r="D88" s="11" t="n">
        <v>0.15</v>
      </c>
      <c r="E88" s="8" t="n">
        <v>6800</v>
      </c>
      <c r="F88" s="6" t="n">
        <v>79</v>
      </c>
      <c r="G88" s="8" t="n">
        <v>537200</v>
      </c>
      <c r="H88" s="6" t="n">
        <v>0</v>
      </c>
      <c r="I88" s="9" t="n">
        <v>0</v>
      </c>
      <c r="J88" s="6" t="n">
        <v>70</v>
      </c>
      <c r="K88" s="6" t="n">
        <v>4.9</v>
      </c>
    </row>
    <row r="89" customFormat="false" ht="15" hidden="false" customHeight="false" outlineLevel="0" collapsed="false">
      <c r="A89" s="6" t="s">
        <v>28</v>
      </c>
      <c r="B89" s="7" t="s">
        <v>1040</v>
      </c>
      <c r="C89" s="8" t="n">
        <v>8500</v>
      </c>
      <c r="D89" s="11" t="n">
        <v>0.12</v>
      </c>
      <c r="E89" s="8" t="n">
        <v>7480</v>
      </c>
      <c r="F89" s="6" t="n">
        <v>15</v>
      </c>
      <c r="G89" s="8" t="n">
        <v>112200</v>
      </c>
      <c r="H89" s="6" t="n">
        <v>0</v>
      </c>
      <c r="I89" s="9" t="n">
        <v>0</v>
      </c>
      <c r="J89" s="6" t="n">
        <v>70</v>
      </c>
      <c r="K89" s="6" t="n">
        <v>4.4</v>
      </c>
    </row>
    <row r="90" customFormat="false" ht="15" hidden="false" customHeight="false" outlineLevel="0" collapsed="false">
      <c r="A90" s="6" t="s">
        <v>29</v>
      </c>
      <c r="B90" s="7" t="s">
        <v>1041</v>
      </c>
      <c r="C90" s="8" t="n">
        <v>11000</v>
      </c>
      <c r="D90" s="11" t="n">
        <v>0.12</v>
      </c>
      <c r="E90" s="8" t="n">
        <v>9680</v>
      </c>
      <c r="F90" s="6" t="n">
        <v>21</v>
      </c>
      <c r="G90" s="8" t="n">
        <v>203280</v>
      </c>
      <c r="H90" s="6" t="n">
        <v>1</v>
      </c>
      <c r="I90" s="9" t="n">
        <v>0.048</v>
      </c>
      <c r="J90" s="6" t="n">
        <v>58</v>
      </c>
      <c r="K90" s="6" t="n">
        <v>5</v>
      </c>
    </row>
    <row r="91" customFormat="false" ht="15" hidden="false" customHeight="false" outlineLevel="0" collapsed="false">
      <c r="A91" s="6" t="s">
        <v>30</v>
      </c>
      <c r="B91" s="7" t="s">
        <v>1042</v>
      </c>
      <c r="C91" s="8" t="n">
        <v>13000</v>
      </c>
      <c r="D91" s="11" t="n">
        <v>0.15</v>
      </c>
      <c r="E91" s="8" t="n">
        <v>11050</v>
      </c>
      <c r="F91" s="6" t="n">
        <v>125</v>
      </c>
      <c r="G91" s="8" t="n">
        <v>1381250</v>
      </c>
      <c r="H91" s="6" t="n">
        <v>3</v>
      </c>
      <c r="I91" s="9" t="n">
        <v>0.024</v>
      </c>
      <c r="J91" s="6" t="n">
        <v>31</v>
      </c>
      <c r="K91" s="6" t="n">
        <v>4.3</v>
      </c>
    </row>
    <row r="92" customFormat="false" ht="15" hidden="false" customHeight="false" outlineLevel="0" collapsed="false">
      <c r="A92" s="6" t="s">
        <v>31</v>
      </c>
      <c r="B92" s="7" t="s">
        <v>1043</v>
      </c>
      <c r="C92" s="8" t="n">
        <v>11000</v>
      </c>
      <c r="D92" s="11" t="n">
        <v>0.05</v>
      </c>
      <c r="E92" s="8" t="n">
        <v>10450</v>
      </c>
      <c r="F92" s="6" t="n">
        <v>66</v>
      </c>
      <c r="G92" s="8" t="n">
        <v>689700</v>
      </c>
      <c r="H92" s="6" t="n">
        <v>2</v>
      </c>
      <c r="I92" s="9" t="n">
        <v>0.03</v>
      </c>
      <c r="J92" s="6" t="n">
        <v>35</v>
      </c>
      <c r="K92" s="6" t="n">
        <v>4.6</v>
      </c>
    </row>
    <row r="93" customFormat="false" ht="15" hidden="false" customHeight="false" outlineLevel="0" collapsed="false">
      <c r="A93" s="6" t="s">
        <v>32</v>
      </c>
      <c r="B93" s="7" t="s">
        <v>1044</v>
      </c>
      <c r="C93" s="8" t="n">
        <v>14000</v>
      </c>
      <c r="D93" s="11" t="n">
        <v>0.12</v>
      </c>
      <c r="E93" s="8" t="n">
        <v>12320</v>
      </c>
      <c r="F93" s="6" t="n">
        <v>49</v>
      </c>
      <c r="G93" s="8" t="n">
        <v>603680</v>
      </c>
      <c r="H93" s="6" t="n">
        <v>1</v>
      </c>
      <c r="I93" s="9" t="n">
        <v>0.02</v>
      </c>
      <c r="J93" s="6" t="n">
        <v>17</v>
      </c>
      <c r="K93" s="6" t="n">
        <v>4.5</v>
      </c>
    </row>
    <row r="94" customFormat="false" ht="15" hidden="false" customHeight="false" outlineLevel="0" collapsed="false">
      <c r="A94" s="6" t="s">
        <v>33</v>
      </c>
      <c r="B94" s="7" t="s">
        <v>1045</v>
      </c>
      <c r="C94" s="8" t="n">
        <v>15000</v>
      </c>
      <c r="D94" s="11" t="n">
        <v>0.12</v>
      </c>
      <c r="E94" s="8" t="n">
        <v>13200</v>
      </c>
      <c r="F94" s="6" t="n">
        <v>148</v>
      </c>
      <c r="G94" s="8" t="n">
        <v>1953600</v>
      </c>
      <c r="H94" s="6" t="n">
        <v>5</v>
      </c>
      <c r="I94" s="9" t="n">
        <v>0.034</v>
      </c>
      <c r="J94" s="6" t="n">
        <v>34</v>
      </c>
      <c r="K94" s="6" t="n">
        <v>4.3</v>
      </c>
    </row>
    <row r="95" customFormat="false" ht="15" hidden="false" customHeight="false" outlineLevel="0" collapsed="false">
      <c r="A95" s="6" t="s">
        <v>34</v>
      </c>
      <c r="B95" s="7" t="s">
        <v>1046</v>
      </c>
      <c r="C95" s="8" t="n">
        <v>19000</v>
      </c>
      <c r="D95" s="11" t="n">
        <v>0.05</v>
      </c>
      <c r="E95" s="8" t="n">
        <v>18050</v>
      </c>
      <c r="F95" s="6" t="n">
        <v>99</v>
      </c>
      <c r="G95" s="8" t="n">
        <v>1786950</v>
      </c>
      <c r="H95" s="6" t="n">
        <v>3</v>
      </c>
      <c r="I95" s="9" t="n">
        <v>0.03</v>
      </c>
      <c r="J95" s="6" t="n">
        <v>53</v>
      </c>
      <c r="K95" s="6" t="n">
        <v>4.6</v>
      </c>
    </row>
    <row r="96" customFormat="false" ht="15" hidden="false" customHeight="false" outlineLevel="0" collapsed="false">
      <c r="A96" s="6" t="s">
        <v>35</v>
      </c>
      <c r="B96" s="7" t="s">
        <v>1047</v>
      </c>
      <c r="C96" s="8" t="n">
        <v>8000</v>
      </c>
      <c r="D96" s="11" t="n">
        <v>0.12</v>
      </c>
      <c r="E96" s="8" t="n">
        <v>7040</v>
      </c>
      <c r="F96" s="6" t="n">
        <v>97</v>
      </c>
      <c r="G96" s="8" t="n">
        <v>682880</v>
      </c>
      <c r="H96" s="6" t="n">
        <v>0</v>
      </c>
      <c r="I96" s="9" t="n">
        <v>0</v>
      </c>
      <c r="J96" s="6" t="n">
        <v>6</v>
      </c>
      <c r="K96" s="6" t="n">
        <v>4.3</v>
      </c>
    </row>
    <row r="97" customFormat="false" ht="15" hidden="false" customHeight="false" outlineLevel="0" collapsed="false">
      <c r="A97" s="6" t="s">
        <v>36</v>
      </c>
      <c r="B97" s="7" t="s">
        <v>1048</v>
      </c>
      <c r="C97" s="8" t="n">
        <v>21000</v>
      </c>
      <c r="D97" s="11" t="n">
        <v>0.08</v>
      </c>
      <c r="E97" s="8" t="n">
        <v>19320</v>
      </c>
      <c r="F97" s="6" t="n">
        <v>60</v>
      </c>
      <c r="G97" s="8" t="n">
        <v>1159200</v>
      </c>
      <c r="H97" s="6" t="n">
        <v>0</v>
      </c>
      <c r="I97" s="9" t="n">
        <v>0</v>
      </c>
      <c r="J97" s="6" t="n">
        <v>24</v>
      </c>
      <c r="K97" s="6" t="n">
        <v>5</v>
      </c>
    </row>
    <row r="98" customFormat="false" ht="15" hidden="false" customHeight="false" outlineLevel="0" collapsed="false">
      <c r="A98" s="6" t="s">
        <v>37</v>
      </c>
      <c r="B98" s="7" t="s">
        <v>1049</v>
      </c>
      <c r="C98" s="8" t="n">
        <v>32000</v>
      </c>
      <c r="D98" s="11" t="n">
        <v>0.15</v>
      </c>
      <c r="E98" s="8" t="n">
        <v>27200</v>
      </c>
      <c r="F98" s="6" t="n">
        <v>108</v>
      </c>
      <c r="G98" s="8" t="n">
        <v>2937600</v>
      </c>
      <c r="H98" s="6" t="n">
        <v>4</v>
      </c>
      <c r="I98" s="9" t="n">
        <v>0.037</v>
      </c>
      <c r="J98" s="6" t="n">
        <v>44</v>
      </c>
      <c r="K98" s="6" t="n">
        <v>4.5</v>
      </c>
    </row>
    <row r="99" customFormat="false" ht="15" hidden="false" customHeight="false" outlineLevel="0" collapsed="false">
      <c r="A99" s="6" t="s">
        <v>38</v>
      </c>
      <c r="B99" s="7" t="s">
        <v>1050</v>
      </c>
      <c r="C99" s="8" t="n">
        <v>48000</v>
      </c>
      <c r="D99" s="11" t="n">
        <v>0.1</v>
      </c>
      <c r="E99" s="8" t="n">
        <v>43200</v>
      </c>
      <c r="F99" s="6" t="n">
        <v>5</v>
      </c>
      <c r="G99" s="8" t="n">
        <v>216000</v>
      </c>
      <c r="H99" s="6" t="n">
        <v>0</v>
      </c>
      <c r="I99" s="9" t="n">
        <v>0</v>
      </c>
      <c r="J99" s="6" t="n">
        <v>60</v>
      </c>
      <c r="K99" s="6" t="n">
        <v>4.2</v>
      </c>
    </row>
    <row r="100" customFormat="false" ht="15" hidden="false" customHeight="false" outlineLevel="0" collapsed="false">
      <c r="A100" s="6" t="s">
        <v>39</v>
      </c>
      <c r="B100" s="7" t="s">
        <v>1051</v>
      </c>
      <c r="C100" s="8" t="n">
        <v>38000</v>
      </c>
      <c r="D100" s="11" t="n">
        <v>0.05</v>
      </c>
      <c r="E100" s="8" t="n">
        <v>36100</v>
      </c>
      <c r="F100" s="6" t="n">
        <v>150</v>
      </c>
      <c r="G100" s="8" t="n">
        <v>5415000</v>
      </c>
      <c r="H100" s="6" t="n">
        <v>1</v>
      </c>
      <c r="I100" s="9" t="n">
        <v>0.007</v>
      </c>
      <c r="J100" s="6" t="n">
        <v>85</v>
      </c>
      <c r="K100" s="6" t="n">
        <v>4.9</v>
      </c>
    </row>
    <row r="101" customFormat="false" ht="15" hidden="false" customHeight="false" outlineLevel="0" collapsed="false">
      <c r="A101" s="6" t="s">
        <v>40</v>
      </c>
      <c r="B101" s="7" t="s">
        <v>1052</v>
      </c>
      <c r="C101" s="8" t="n">
        <v>45000</v>
      </c>
      <c r="D101" s="11" t="n">
        <v>0.08</v>
      </c>
      <c r="E101" s="8" t="n">
        <v>41400</v>
      </c>
      <c r="F101" s="6" t="n">
        <v>55</v>
      </c>
      <c r="G101" s="8" t="n">
        <v>2277000</v>
      </c>
      <c r="H101" s="6" t="n">
        <v>2</v>
      </c>
      <c r="I101" s="9" t="n">
        <v>0.036</v>
      </c>
      <c r="J101" s="6" t="n">
        <v>57</v>
      </c>
      <c r="K101" s="6" t="n">
        <v>4.8</v>
      </c>
    </row>
    <row r="102" customFormat="false" ht="15" hidden="false" customHeight="false" outlineLevel="0" collapsed="false">
      <c r="A102" s="6" t="s">
        <v>41</v>
      </c>
      <c r="B102" s="7" t="s">
        <v>1053</v>
      </c>
      <c r="C102" s="8" t="n">
        <v>42000</v>
      </c>
      <c r="D102" s="11" t="n">
        <v>0.12</v>
      </c>
      <c r="E102" s="8" t="n">
        <v>36960</v>
      </c>
      <c r="F102" s="6" t="n">
        <v>132</v>
      </c>
      <c r="G102" s="8" t="n">
        <v>4878720</v>
      </c>
      <c r="H102" s="6" t="n">
        <v>0</v>
      </c>
      <c r="I102" s="9" t="n">
        <v>0</v>
      </c>
      <c r="J102" s="6" t="n">
        <v>2</v>
      </c>
      <c r="K102" s="6" t="n">
        <v>4.6</v>
      </c>
    </row>
    <row r="103" customFormat="false" ht="15" hidden="false" customHeight="false" outlineLevel="0" collapsed="false">
      <c r="A103" s="6" t="s">
        <v>42</v>
      </c>
      <c r="B103" s="7" t="s">
        <v>1054</v>
      </c>
      <c r="C103" s="8" t="n">
        <v>68000</v>
      </c>
      <c r="D103" s="11" t="n">
        <v>0.1</v>
      </c>
      <c r="E103" s="8" t="n">
        <v>61200</v>
      </c>
      <c r="F103" s="6" t="n">
        <v>36</v>
      </c>
      <c r="G103" s="8" t="n">
        <v>2203200</v>
      </c>
      <c r="H103" s="6" t="n">
        <v>1</v>
      </c>
      <c r="I103" s="9" t="n">
        <v>0.028</v>
      </c>
      <c r="J103" s="6" t="n">
        <v>78</v>
      </c>
      <c r="K103" s="6" t="n">
        <v>4.3</v>
      </c>
    </row>
    <row r="104" customFormat="false" ht="15" hidden="false" customHeight="false" outlineLevel="0" collapsed="false">
      <c r="A104" s="6" t="s">
        <v>43</v>
      </c>
      <c r="B104" s="7" t="s">
        <v>1055</v>
      </c>
      <c r="C104" s="8" t="n">
        <v>25000</v>
      </c>
      <c r="D104" s="11" t="n">
        <v>0.12</v>
      </c>
      <c r="E104" s="8" t="n">
        <v>22000</v>
      </c>
      <c r="F104" s="6" t="n">
        <v>94</v>
      </c>
      <c r="G104" s="8" t="n">
        <v>2068000</v>
      </c>
      <c r="H104" s="6" t="n">
        <v>1</v>
      </c>
      <c r="I104" s="9" t="n">
        <v>0.011</v>
      </c>
      <c r="J104" s="6" t="n">
        <v>47</v>
      </c>
      <c r="K104" s="6" t="n">
        <v>4.9</v>
      </c>
    </row>
    <row r="105" customFormat="false" ht="15" hidden="false" customHeight="false" outlineLevel="0" collapsed="false">
      <c r="A105" s="6" t="s">
        <v>44</v>
      </c>
      <c r="B105" s="7" t="s">
        <v>1056</v>
      </c>
      <c r="C105" s="8" t="n">
        <v>89000</v>
      </c>
      <c r="D105" s="11" t="n">
        <v>0.08</v>
      </c>
      <c r="E105" s="8" t="n">
        <v>81880</v>
      </c>
      <c r="F105" s="6" t="n">
        <v>37</v>
      </c>
      <c r="G105" s="8" t="n">
        <v>3029560</v>
      </c>
      <c r="H105" s="6" t="n">
        <v>0</v>
      </c>
      <c r="I105" s="9" t="n">
        <v>0</v>
      </c>
      <c r="J105" s="6" t="n">
        <v>25</v>
      </c>
      <c r="K105" s="6" t="n">
        <v>4.4</v>
      </c>
    </row>
    <row r="106" customFormat="false" ht="15" hidden="false" customHeight="false" outlineLevel="0" collapsed="false">
      <c r="A106" s="6" t="s">
        <v>45</v>
      </c>
      <c r="B106" s="7" t="s">
        <v>1057</v>
      </c>
      <c r="C106" s="8" t="n">
        <v>35000</v>
      </c>
      <c r="D106" s="11" t="n">
        <v>0.12</v>
      </c>
      <c r="E106" s="8" t="n">
        <v>30800</v>
      </c>
      <c r="F106" s="6" t="n">
        <v>56</v>
      </c>
      <c r="G106" s="8" t="n">
        <v>1724800</v>
      </c>
      <c r="H106" s="6" t="n">
        <v>1</v>
      </c>
      <c r="I106" s="9" t="n">
        <v>0.018</v>
      </c>
      <c r="J106" s="6" t="n">
        <v>66</v>
      </c>
      <c r="K106" s="6" t="n">
        <v>4.8</v>
      </c>
    </row>
    <row r="107" customFormat="false" ht="15" hidden="false" customHeight="false" outlineLevel="0" collapsed="false">
      <c r="A107" s="6" t="s">
        <v>46</v>
      </c>
      <c r="B107" s="7" t="s">
        <v>1058</v>
      </c>
      <c r="C107" s="8" t="n">
        <v>28000</v>
      </c>
      <c r="D107" s="11" t="n">
        <v>0.1</v>
      </c>
      <c r="E107" s="8" t="n">
        <v>25200</v>
      </c>
      <c r="F107" s="6" t="n">
        <v>55</v>
      </c>
      <c r="G107" s="8" t="n">
        <v>1386000</v>
      </c>
      <c r="H107" s="6" t="n">
        <v>2</v>
      </c>
      <c r="I107" s="9" t="n">
        <v>0.036</v>
      </c>
      <c r="J107" s="6" t="n">
        <v>77</v>
      </c>
      <c r="K107" s="6" t="n">
        <v>5</v>
      </c>
    </row>
    <row r="108" customFormat="false" ht="15" hidden="false" customHeight="false" outlineLevel="0" collapsed="false">
      <c r="A108" s="6" t="s">
        <v>47</v>
      </c>
      <c r="B108" s="7" t="s">
        <v>1059</v>
      </c>
      <c r="C108" s="8" t="n">
        <v>52000</v>
      </c>
      <c r="D108" s="11" t="n">
        <v>0.05</v>
      </c>
      <c r="E108" s="8" t="n">
        <v>49400</v>
      </c>
      <c r="F108" s="6" t="n">
        <v>125</v>
      </c>
      <c r="G108" s="8" t="n">
        <v>6175000</v>
      </c>
      <c r="H108" s="6" t="n">
        <v>0</v>
      </c>
      <c r="I108" s="9" t="n">
        <v>0</v>
      </c>
      <c r="J108" s="6" t="n">
        <v>25</v>
      </c>
      <c r="K108" s="6" t="n">
        <v>4.6</v>
      </c>
    </row>
    <row r="109" customFormat="false" ht="15" hidden="false" customHeight="false" outlineLevel="0" collapsed="false">
      <c r="A109" s="6" t="s">
        <v>48</v>
      </c>
      <c r="B109" s="7" t="s">
        <v>1060</v>
      </c>
      <c r="C109" s="8" t="n">
        <v>55000</v>
      </c>
      <c r="D109" s="11" t="n">
        <v>0.05</v>
      </c>
      <c r="E109" s="8" t="n">
        <v>52250</v>
      </c>
      <c r="F109" s="6" t="n">
        <v>8</v>
      </c>
      <c r="G109" s="8" t="n">
        <v>418000</v>
      </c>
      <c r="H109" s="6" t="n">
        <v>1</v>
      </c>
      <c r="I109" s="9" t="n">
        <v>0.125</v>
      </c>
      <c r="J109" s="6" t="n">
        <v>24</v>
      </c>
      <c r="K109" s="6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2026-03-30T12:56:08Z</dcterms:created>
  <dc:creator>openpyxl</dc:creator>
  <dc:description/>
  <dc:language>en-US</dc:language>
  <cp:lastModifiedBy/>
  <dcterms:modified xsi:type="dcterms:W3CDTF">2026-04-01T06:27:08Z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